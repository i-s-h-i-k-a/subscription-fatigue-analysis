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k\OneDrive\Documents\Subscription-Fatigue-Analytics\analysis\"/>
    </mc:Choice>
  </mc:AlternateContent>
  <xr:revisionPtr revIDLastSave="0" documentId="13_ncr:1_{C657992B-D605-49F9-945F-9D2009D1CCC5}" xr6:coauthVersionLast="47" xr6:coauthVersionMax="47" xr10:uidLastSave="{00000000-0000-0000-0000-000000000000}"/>
  <bookViews>
    <workbookView xWindow="-108" yWindow="-108" windowWidth="23256" windowHeight="12456" activeTab="1" xr2:uid="{261AD7A6-EABB-47B4-8261-D1102A4B9EE6}"/>
  </bookViews>
  <sheets>
    <sheet name="Sheet1" sheetId="4" r:id="rId1"/>
    <sheet name="User-Level Revenue &amp; Fatigue Ta" sheetId="2" r:id="rId2"/>
    <sheet name="subscriptions" sheetId="1" r:id="rId3"/>
  </sheets>
  <calcPr calcId="191029"/>
  <pivotCaches>
    <pivotCache cacheId="0" r:id="rId4"/>
    <pivotCache cacheId="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2" l="1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" i="2"/>
  <c r="L48" i="1"/>
  <c r="M48" i="1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" i="1"/>
  <c r="L18" i="1"/>
  <c r="L19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4" i="1"/>
  <c r="L45" i="1"/>
  <c r="L46" i="1"/>
  <c r="L47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4" i="1"/>
  <c r="L6" i="1"/>
  <c r="L7" i="1"/>
  <c r="L8" i="1"/>
  <c r="L9" i="1"/>
  <c r="L10" i="1"/>
  <c r="L11" i="1"/>
  <c r="L12" i="1"/>
  <c r="L13" i="1"/>
  <c r="L14" i="1"/>
  <c r="L16" i="1"/>
  <c r="L17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3" i="1"/>
  <c r="I4" i="1"/>
  <c r="I5" i="1"/>
  <c r="L5" i="1" s="1"/>
  <c r="I6" i="1"/>
  <c r="I7" i="1"/>
  <c r="I8" i="1"/>
  <c r="I9" i="1"/>
  <c r="I10" i="1"/>
  <c r="I11" i="1"/>
  <c r="I12" i="1"/>
  <c r="I13" i="1"/>
  <c r="I14" i="1"/>
  <c r="I15" i="1"/>
  <c r="I16" i="1"/>
  <c r="I2" i="1"/>
</calcChain>
</file>

<file path=xl/sharedStrings.xml><?xml version="1.0" encoding="utf-8"?>
<sst xmlns="http://schemas.openxmlformats.org/spreadsheetml/2006/main" count="635" uniqueCount="226">
  <si>
    <t>user_id</t>
  </si>
  <si>
    <t>plan_type</t>
  </si>
  <si>
    <t>start_date</t>
  </si>
  <si>
    <t>renewal_date</t>
  </si>
  <si>
    <t>cancel_date</t>
  </si>
  <si>
    <t>price</t>
  </si>
  <si>
    <t>U001</t>
  </si>
  <si>
    <t>Monthly</t>
  </si>
  <si>
    <t>U002</t>
  </si>
  <si>
    <t>U003</t>
  </si>
  <si>
    <t>Annual</t>
  </si>
  <si>
    <t>U004</t>
  </si>
  <si>
    <t>U005</t>
  </si>
  <si>
    <t>U006</t>
  </si>
  <si>
    <t>U007</t>
  </si>
  <si>
    <t>U008</t>
  </si>
  <si>
    <t>U009</t>
  </si>
  <si>
    <t>U010</t>
  </si>
  <si>
    <t>U011</t>
  </si>
  <si>
    <t>U012</t>
  </si>
  <si>
    <t>U013</t>
  </si>
  <si>
    <t>U014</t>
  </si>
  <si>
    <t>U015</t>
  </si>
  <si>
    <t>U016</t>
  </si>
  <si>
    <t>U017</t>
  </si>
  <si>
    <t>U018</t>
  </si>
  <si>
    <t>U019</t>
  </si>
  <si>
    <t>U020</t>
  </si>
  <si>
    <t>U021</t>
  </si>
  <si>
    <t>U022</t>
  </si>
  <si>
    <t>U023</t>
  </si>
  <si>
    <t>U024</t>
  </si>
  <si>
    <t>U025</t>
  </si>
  <si>
    <t>U026</t>
  </si>
  <si>
    <t>U027</t>
  </si>
  <si>
    <t>U028</t>
  </si>
  <si>
    <t>U029</t>
  </si>
  <si>
    <t>U030</t>
  </si>
  <si>
    <t>U031</t>
  </si>
  <si>
    <t>U032</t>
  </si>
  <si>
    <t>U033</t>
  </si>
  <si>
    <t>U034</t>
  </si>
  <si>
    <t>U035</t>
  </si>
  <si>
    <t>U036</t>
  </si>
  <si>
    <t>U037</t>
  </si>
  <si>
    <t>U038</t>
  </si>
  <si>
    <t>U039</t>
  </si>
  <si>
    <t>U040</t>
  </si>
  <si>
    <t>U041</t>
  </si>
  <si>
    <t>U042</t>
  </si>
  <si>
    <t>U043</t>
  </si>
  <si>
    <t>U044</t>
  </si>
  <si>
    <t>U045</t>
  </si>
  <si>
    <t>U046</t>
  </si>
  <si>
    <t>U047</t>
  </si>
  <si>
    <t>U048</t>
  </si>
  <si>
    <t>U049</t>
  </si>
  <si>
    <t>U050</t>
  </si>
  <si>
    <t>U051</t>
  </si>
  <si>
    <t>U052</t>
  </si>
  <si>
    <t>U053</t>
  </si>
  <si>
    <t>U054</t>
  </si>
  <si>
    <t>U055</t>
  </si>
  <si>
    <t>U056</t>
  </si>
  <si>
    <t>U057</t>
  </si>
  <si>
    <t>U058</t>
  </si>
  <si>
    <t>U059</t>
  </si>
  <si>
    <t>U060</t>
  </si>
  <si>
    <t>U061</t>
  </si>
  <si>
    <t>U062</t>
  </si>
  <si>
    <t>U063</t>
  </si>
  <si>
    <t>U064</t>
  </si>
  <si>
    <t>U065</t>
  </si>
  <si>
    <t>U066</t>
  </si>
  <si>
    <t>U067</t>
  </si>
  <si>
    <t>U068</t>
  </si>
  <si>
    <t>U069</t>
  </si>
  <si>
    <t>U070</t>
  </si>
  <si>
    <t>U071</t>
  </si>
  <si>
    <t>U072</t>
  </si>
  <si>
    <t>U073</t>
  </si>
  <si>
    <t>U074</t>
  </si>
  <si>
    <t>U075</t>
  </si>
  <si>
    <t>U076</t>
  </si>
  <si>
    <t>U077</t>
  </si>
  <si>
    <t>U078</t>
  </si>
  <si>
    <t>U079</t>
  </si>
  <si>
    <t>U080</t>
  </si>
  <si>
    <t>U081</t>
  </si>
  <si>
    <t>U082</t>
  </si>
  <si>
    <t>U083</t>
  </si>
  <si>
    <t>U084</t>
  </si>
  <si>
    <t>U085</t>
  </si>
  <si>
    <t>U086</t>
  </si>
  <si>
    <t>U087</t>
  </si>
  <si>
    <t>U088</t>
  </si>
  <si>
    <t>U089</t>
  </si>
  <si>
    <t>U090</t>
  </si>
  <si>
    <t>U091</t>
  </si>
  <si>
    <t>U092</t>
  </si>
  <si>
    <t>U093</t>
  </si>
  <si>
    <t>U094</t>
  </si>
  <si>
    <t>U095</t>
  </si>
  <si>
    <t>U096</t>
  </si>
  <si>
    <t>U097</t>
  </si>
  <si>
    <t>U098</t>
  </si>
  <si>
    <t>U099</t>
  </si>
  <si>
    <t>U100</t>
  </si>
  <si>
    <t>U101</t>
  </si>
  <si>
    <t>U102</t>
  </si>
  <si>
    <t>U103</t>
  </si>
  <si>
    <t>U104</t>
  </si>
  <si>
    <t>U105</t>
  </si>
  <si>
    <t>U106</t>
  </si>
  <si>
    <t>U107</t>
  </si>
  <si>
    <t>U108</t>
  </si>
  <si>
    <t>U109</t>
  </si>
  <si>
    <t>U110</t>
  </si>
  <si>
    <t>U111</t>
  </si>
  <si>
    <t>U112</t>
  </si>
  <si>
    <t>U113</t>
  </si>
  <si>
    <t>U114</t>
  </si>
  <si>
    <t>U115</t>
  </si>
  <si>
    <t>U116</t>
  </si>
  <si>
    <t>U117</t>
  </si>
  <si>
    <t>U118</t>
  </si>
  <si>
    <t>U119</t>
  </si>
  <si>
    <t>U120</t>
  </si>
  <si>
    <t>U121</t>
  </si>
  <si>
    <t>U122</t>
  </si>
  <si>
    <t>U123</t>
  </si>
  <si>
    <t>U124</t>
  </si>
  <si>
    <t>U125</t>
  </si>
  <si>
    <t>U126</t>
  </si>
  <si>
    <t>U127</t>
  </si>
  <si>
    <t>U128</t>
  </si>
  <si>
    <t>U129</t>
  </si>
  <si>
    <t>U130</t>
  </si>
  <si>
    <t>U131</t>
  </si>
  <si>
    <t>U132</t>
  </si>
  <si>
    <t>U133</t>
  </si>
  <si>
    <t>U134</t>
  </si>
  <si>
    <t>U135</t>
  </si>
  <si>
    <t>U136</t>
  </si>
  <si>
    <t>U137</t>
  </si>
  <si>
    <t>U138</t>
  </si>
  <si>
    <t>U139</t>
  </si>
  <si>
    <t>U140</t>
  </si>
  <si>
    <t>U141</t>
  </si>
  <si>
    <t>U142</t>
  </si>
  <si>
    <t>U143</t>
  </si>
  <si>
    <t>U144</t>
  </si>
  <si>
    <t>U145</t>
  </si>
  <si>
    <t>U146</t>
  </si>
  <si>
    <t>U147</t>
  </si>
  <si>
    <t>U148</t>
  </si>
  <si>
    <t>U149</t>
  </si>
  <si>
    <t>U150</t>
  </si>
  <si>
    <t>U151</t>
  </si>
  <si>
    <t>U152</t>
  </si>
  <si>
    <t>U153</t>
  </si>
  <si>
    <t>U154</t>
  </si>
  <si>
    <t>U155</t>
  </si>
  <si>
    <t>U156</t>
  </si>
  <si>
    <t>U157</t>
  </si>
  <si>
    <t>U158</t>
  </si>
  <si>
    <t>U159</t>
  </si>
  <si>
    <t>U160</t>
  </si>
  <si>
    <t>U161</t>
  </si>
  <si>
    <t>U162</t>
  </si>
  <si>
    <t>U163</t>
  </si>
  <si>
    <t>U164</t>
  </si>
  <si>
    <t>U165</t>
  </si>
  <si>
    <t>U166</t>
  </si>
  <si>
    <t>U167</t>
  </si>
  <si>
    <t>U168</t>
  </si>
  <si>
    <t>U169</t>
  </si>
  <si>
    <t>U170</t>
  </si>
  <si>
    <t>U171</t>
  </si>
  <si>
    <t>U172</t>
  </si>
  <si>
    <t>U173</t>
  </si>
  <si>
    <t>U174</t>
  </si>
  <si>
    <t>U175</t>
  </si>
  <si>
    <t>U176</t>
  </si>
  <si>
    <t>U177</t>
  </si>
  <si>
    <t>U178</t>
  </si>
  <si>
    <t>U179</t>
  </si>
  <si>
    <t>U180</t>
  </si>
  <si>
    <t>U181</t>
  </si>
  <si>
    <t>U182</t>
  </si>
  <si>
    <t>U183</t>
  </si>
  <si>
    <t>U184</t>
  </si>
  <si>
    <t>U185</t>
  </si>
  <si>
    <t>U186</t>
  </si>
  <si>
    <t>U187</t>
  </si>
  <si>
    <t>U188</t>
  </si>
  <si>
    <t>U189</t>
  </si>
  <si>
    <t>U190</t>
  </si>
  <si>
    <t>U191</t>
  </si>
  <si>
    <t>U192</t>
  </si>
  <si>
    <t>U193</t>
  </si>
  <si>
    <t>U194</t>
  </si>
  <si>
    <t>U195</t>
  </si>
  <si>
    <t>U196</t>
  </si>
  <si>
    <t>U197</t>
  </si>
  <si>
    <t>U198</t>
  </si>
  <si>
    <t>U199</t>
  </si>
  <si>
    <t>U200</t>
  </si>
  <si>
    <t>push_count</t>
  </si>
  <si>
    <t>cohort</t>
  </si>
  <si>
    <t>actual_pushcount</t>
  </si>
  <si>
    <t>email_count</t>
  </si>
  <si>
    <t>actual_emailcount</t>
  </si>
  <si>
    <t>engagement_level</t>
  </si>
  <si>
    <t>fatigued</t>
  </si>
  <si>
    <t>low</t>
  </si>
  <si>
    <t>Row Labels</t>
  </si>
  <si>
    <t>Grand Total</t>
  </si>
  <si>
    <t>Count of fatigued</t>
  </si>
  <si>
    <t>Yes</t>
  </si>
  <si>
    <t>user_fatigue_status</t>
  </si>
  <si>
    <t>total_revenue</t>
  </si>
  <si>
    <t>Fatigued</t>
  </si>
  <si>
    <t>Healthy</t>
  </si>
  <si>
    <t>avg_monthly_revenue</t>
  </si>
  <si>
    <t>Average of avg_monthly_revenue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</si>
</sst>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16" fillId="0" borderId="10" xfId="0" applyFont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hika Verma" refreshedDate="46040.730009027779" createdVersion="8" refreshedVersion="8" minRefreshableVersion="3" recordCount="200" xr:uid="{908D2503-5280-4E90-AA47-E3ADFFA2CB01}">
  <cacheSource type="worksheet">
    <worksheetSource ref="A1:M201" sheet="subscriptions"/>
  </cacheSource>
  <cacheFields count="13">
    <cacheField name="user_id" numFmtId="0">
      <sharedItems count="200">
        <s v="U001"/>
        <s v="U002"/>
        <s v="U003"/>
        <s v="U004"/>
        <s v="U005"/>
        <s v="U006"/>
        <s v="U007"/>
        <s v="U008"/>
        <s v="U009"/>
        <s v="U010"/>
        <s v="U011"/>
        <s v="U012"/>
        <s v="U013"/>
        <s v="U014"/>
        <s v="U015"/>
        <s v="U016"/>
        <s v="U017"/>
        <s v="U018"/>
        <s v="U019"/>
        <s v="U020"/>
        <s v="U021"/>
        <s v="U022"/>
        <s v="U023"/>
        <s v="U024"/>
        <s v="U025"/>
        <s v="U026"/>
        <s v="U027"/>
        <s v="U028"/>
        <s v="U029"/>
        <s v="U030"/>
        <s v="U031"/>
        <s v="U032"/>
        <s v="U033"/>
        <s v="U034"/>
        <s v="U035"/>
        <s v="U036"/>
        <s v="U037"/>
        <s v="U038"/>
        <s v="U039"/>
        <s v="U040"/>
        <s v="U041"/>
        <s v="U042"/>
        <s v="U043"/>
        <s v="U044"/>
        <s v="U045"/>
        <s v="U046"/>
        <s v="U047"/>
        <s v="U048"/>
        <s v="U049"/>
        <s v="U050"/>
        <s v="U051"/>
        <s v="U052"/>
        <s v="U053"/>
        <s v="U054"/>
        <s v="U055"/>
        <s v="U056"/>
        <s v="U057"/>
        <s v="U058"/>
        <s v="U059"/>
        <s v="U060"/>
        <s v="U061"/>
        <s v="U062"/>
        <s v="U063"/>
        <s v="U064"/>
        <s v="U065"/>
        <s v="U066"/>
        <s v="U067"/>
        <s v="U068"/>
        <s v="U069"/>
        <s v="U070"/>
        <s v="U071"/>
        <s v="U072"/>
        <s v="U073"/>
        <s v="U074"/>
        <s v="U075"/>
        <s v="U076"/>
        <s v="U077"/>
        <s v="U078"/>
        <s v="U079"/>
        <s v="U080"/>
        <s v="U081"/>
        <s v="U082"/>
        <s v="U083"/>
        <s v="U084"/>
        <s v="U085"/>
        <s v="U086"/>
        <s v="U087"/>
        <s v="U088"/>
        <s v="U089"/>
        <s v="U090"/>
        <s v="U091"/>
        <s v="U092"/>
        <s v="U093"/>
        <s v="U094"/>
        <s v="U095"/>
        <s v="U096"/>
        <s v="U097"/>
        <s v="U098"/>
        <s v="U099"/>
        <s v="U100"/>
        <s v="U101"/>
        <s v="U102"/>
        <s v="U103"/>
        <s v="U104"/>
        <s v="U105"/>
        <s v="U106"/>
        <s v="U107"/>
        <s v="U108"/>
        <s v="U109"/>
        <s v="U110"/>
        <s v="U111"/>
        <s v="U112"/>
        <s v="U113"/>
        <s v="U114"/>
        <s v="U115"/>
        <s v="U116"/>
        <s v="U117"/>
        <s v="U118"/>
        <s v="U119"/>
        <s v="U120"/>
        <s v="U121"/>
        <s v="U122"/>
        <s v="U123"/>
        <s v="U124"/>
        <s v="U125"/>
        <s v="U126"/>
        <s v="U127"/>
        <s v="U128"/>
        <s v="U129"/>
        <s v="U130"/>
        <s v="U131"/>
        <s v="U132"/>
        <s v="U133"/>
        <s v="U134"/>
        <s v="U135"/>
        <s v="U136"/>
        <s v="U137"/>
        <s v="U138"/>
        <s v="U139"/>
        <s v="U140"/>
        <s v="U141"/>
        <s v="U142"/>
        <s v="U143"/>
        <s v="U144"/>
        <s v="U145"/>
        <s v="U146"/>
        <s v="U147"/>
        <s v="U148"/>
        <s v="U149"/>
        <s v="U150"/>
        <s v="U151"/>
        <s v="U152"/>
        <s v="U153"/>
        <s v="U154"/>
        <s v="U155"/>
        <s v="U156"/>
        <s v="U157"/>
        <s v="U158"/>
        <s v="U159"/>
        <s v="U160"/>
        <s v="U161"/>
        <s v="U162"/>
        <s v="U163"/>
        <s v="U164"/>
        <s v="U165"/>
        <s v="U166"/>
        <s v="U167"/>
        <s v="U168"/>
        <s v="U169"/>
        <s v="U170"/>
        <s v="U171"/>
        <s v="U172"/>
        <s v="U173"/>
        <s v="U174"/>
        <s v="U175"/>
        <s v="U176"/>
        <s v="U177"/>
        <s v="U178"/>
        <s v="U179"/>
        <s v="U180"/>
        <s v="U181"/>
        <s v="U182"/>
        <s v="U183"/>
        <s v="U184"/>
        <s v="U185"/>
        <s v="U186"/>
        <s v="U187"/>
        <s v="U188"/>
        <s v="U189"/>
        <s v="U190"/>
        <s v="U191"/>
        <s v="U192"/>
        <s v="U193"/>
        <s v="U194"/>
        <s v="U195"/>
        <s v="U196"/>
        <s v="U197"/>
        <s v="U198"/>
        <s v="U199"/>
        <s v="U200"/>
      </sharedItems>
    </cacheField>
    <cacheField name="plan_type" numFmtId="0">
      <sharedItems/>
    </cacheField>
    <cacheField name="start_date" numFmtId="14">
      <sharedItems containsSemiMixedTypes="0" containsNonDate="0" containsDate="1" containsString="0" minDate="2024-01-05T00:00:00" maxDate="2024-07-25T00:00:00"/>
    </cacheField>
    <cacheField name="renewal_date" numFmtId="14">
      <sharedItems containsSemiMixedTypes="0" containsNonDate="0" containsDate="1" containsString="0" minDate="2024-02-05T00:00:00" maxDate="2025-07-23T00:00:00"/>
    </cacheField>
    <cacheField name="cancel_date" numFmtId="0">
      <sharedItems containsNonDate="0" containsDate="1" containsString="0" containsBlank="1" minDate="2024-01-28T00:00:00" maxDate="2024-07-26T00:00:00"/>
    </cacheField>
    <cacheField name="price" numFmtId="0">
      <sharedItems containsSemiMixedTypes="0" containsString="0" containsNumber="1" containsInteger="1" minValue="499" maxValue="3999"/>
    </cacheField>
    <cacheField name="cohort" numFmtId="17">
      <sharedItems containsSemiMixedTypes="0" containsNonDate="0" containsDate="1" containsString="0" minDate="2024-01-01T00:00:00" maxDate="2024-07-02T00:00:00"/>
    </cacheField>
    <cacheField name="push_count" numFmtId="0">
      <sharedItems containsSemiMixedTypes="0" containsString="0" containsNumber="1" containsInteger="1" minValue="0" maxValue="46"/>
    </cacheField>
    <cacheField name="actual_pushcount" numFmtId="0">
      <sharedItems/>
    </cacheField>
    <cacheField name="email_count" numFmtId="0">
      <sharedItems containsSemiMixedTypes="0" containsString="0" containsNumber="1" containsInteger="1" minValue="0" maxValue="18"/>
    </cacheField>
    <cacheField name="actual_emailcount" numFmtId="0">
      <sharedItems/>
    </cacheField>
    <cacheField name="engagement_level" numFmtId="0">
      <sharedItems/>
    </cacheField>
    <cacheField name="fatigued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hika Verma" refreshedDate="46040.762886111108" createdVersion="8" refreshedVersion="8" minRefreshableVersion="3" recordCount="200" xr:uid="{A89939F5-D309-4DD6-B04C-77DD69F6A6CF}">
  <cacheSource type="worksheet">
    <worksheetSource ref="D1:G201" sheet="User-Level Revenue &amp; Fatigue Ta"/>
  </cacheSource>
  <cacheFields count="4">
    <cacheField name="user_id" numFmtId="0">
      <sharedItems/>
    </cacheField>
    <cacheField name="user_fatigue_status" numFmtId="0">
      <sharedItems count="2">
        <s v="Healthy"/>
        <s v="Fatigued"/>
      </sharedItems>
    </cacheField>
    <cacheField name="total_revenue" numFmtId="0">
      <sharedItems containsSemiMixedTypes="0" containsString="0" containsNumber="1" containsInteger="1" minValue="798" maxValue="3999"/>
    </cacheField>
    <cacheField name="avg_monthly_revenue" numFmtId="0">
      <sharedItems containsSemiMixedTypes="0" containsString="0" containsNumber="1" minValue="333.25" maxValue="4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s v="Monthly"/>
    <d v="2024-01-05T00:00:00"/>
    <d v="2024-02-05T00:00:00"/>
    <m/>
    <n v="499"/>
    <d v="2024-01-01T00:00:00"/>
    <n v="1"/>
    <s v="Low"/>
    <n v="3"/>
    <s v="High"/>
    <s v="High"/>
    <x v="0"/>
  </r>
  <r>
    <x v="1"/>
    <s v="Monthly"/>
    <d v="2024-01-06T00:00:00"/>
    <d v="2024-02-06T00:00:00"/>
    <d v="2024-01-28T00:00:00"/>
    <n v="499"/>
    <d v="2024-01-01T00:00:00"/>
    <n v="7"/>
    <s v="High"/>
    <n v="5"/>
    <s v="High"/>
    <s v="low"/>
    <x v="1"/>
  </r>
  <r>
    <x v="2"/>
    <s v="Annual"/>
    <d v="2024-01-07T00:00:00"/>
    <d v="2025-01-07T00:00:00"/>
    <m/>
    <n v="3999"/>
    <d v="2024-01-01T00:00:00"/>
    <n v="38"/>
    <s v="High"/>
    <n v="15"/>
    <s v="High"/>
    <s v="High"/>
    <x v="0"/>
  </r>
  <r>
    <x v="3"/>
    <s v="Monthly"/>
    <d v="2024-01-08T00:00:00"/>
    <d v="2024-02-08T00:00:00"/>
    <m/>
    <n v="499"/>
    <d v="2024-01-01T00:00:00"/>
    <n v="0"/>
    <s v="Low"/>
    <n v="0"/>
    <s v="Low"/>
    <s v="low"/>
    <x v="0"/>
  </r>
  <r>
    <x v="4"/>
    <s v="Monthly"/>
    <d v="2024-01-09T00:00:00"/>
    <d v="2024-02-09T00:00:00"/>
    <d v="2024-01-30T00:00:00"/>
    <n v="499"/>
    <d v="2024-01-01T00:00:00"/>
    <n v="43"/>
    <s v="High"/>
    <n v="15"/>
    <s v="High"/>
    <s v="High"/>
    <x v="0"/>
  </r>
  <r>
    <x v="5"/>
    <s v="Annual"/>
    <d v="2024-01-10T00:00:00"/>
    <d v="2025-01-10T00:00:00"/>
    <m/>
    <n v="3999"/>
    <d v="2024-01-01T00:00:00"/>
    <n v="6"/>
    <s v="High"/>
    <n v="7"/>
    <s v="High"/>
    <s v="High"/>
    <x v="0"/>
  </r>
  <r>
    <x v="6"/>
    <s v="Monthly"/>
    <d v="2024-01-11T00:00:00"/>
    <d v="2024-02-11T00:00:00"/>
    <m/>
    <n v="499"/>
    <d v="2024-01-01T00:00:00"/>
    <n v="5"/>
    <s v="High"/>
    <n v="6"/>
    <s v="High"/>
    <s v="High"/>
    <x v="0"/>
  </r>
  <r>
    <x v="7"/>
    <s v="Monthly"/>
    <d v="2024-01-12T00:00:00"/>
    <d v="2024-02-12T00:00:00"/>
    <d v="2024-02-01T00:00:00"/>
    <n v="499"/>
    <d v="2024-01-01T00:00:00"/>
    <n v="34"/>
    <s v="High"/>
    <n v="16"/>
    <s v="High"/>
    <s v="High"/>
    <x v="0"/>
  </r>
  <r>
    <x v="8"/>
    <s v="Annual"/>
    <d v="2024-01-13T00:00:00"/>
    <d v="2025-01-13T00:00:00"/>
    <m/>
    <n v="3999"/>
    <d v="2024-01-01T00:00:00"/>
    <n v="29"/>
    <s v="High"/>
    <n v="13"/>
    <s v="High"/>
    <s v="High"/>
    <x v="0"/>
  </r>
  <r>
    <x v="9"/>
    <s v="Monthly"/>
    <d v="2024-01-14T00:00:00"/>
    <d v="2024-02-14T00:00:00"/>
    <m/>
    <n v="499"/>
    <d v="2024-01-01T00:00:00"/>
    <n v="40"/>
    <s v="High"/>
    <n v="13"/>
    <s v="High"/>
    <s v="High"/>
    <x v="0"/>
  </r>
  <r>
    <x v="10"/>
    <s v="Monthly"/>
    <d v="2024-01-15T00:00:00"/>
    <d v="2024-02-15T00:00:00"/>
    <d v="2024-02-05T00:00:00"/>
    <n v="499"/>
    <d v="2024-01-01T00:00:00"/>
    <n v="4"/>
    <s v="Medium"/>
    <n v="4"/>
    <s v="High"/>
    <s v="High"/>
    <x v="0"/>
  </r>
  <r>
    <x v="11"/>
    <s v="Annual"/>
    <d v="2024-01-16T00:00:00"/>
    <d v="2025-01-16T00:00:00"/>
    <m/>
    <n v="3999"/>
    <d v="2024-01-01T00:00:00"/>
    <n v="1"/>
    <s v="Low"/>
    <n v="2"/>
    <s v="Medium"/>
    <s v="Medium"/>
    <x v="0"/>
  </r>
  <r>
    <x v="12"/>
    <s v="Monthly"/>
    <d v="2024-01-17T00:00:00"/>
    <d v="2024-02-17T00:00:00"/>
    <m/>
    <n v="499"/>
    <d v="2024-01-01T00:00:00"/>
    <n v="39"/>
    <s v="High"/>
    <n v="12"/>
    <s v="High"/>
    <s v="High"/>
    <x v="0"/>
  </r>
  <r>
    <x v="13"/>
    <s v="Monthly"/>
    <d v="2024-01-18T00:00:00"/>
    <d v="2024-02-18T00:00:00"/>
    <d v="2024-02-10T00:00:00"/>
    <n v="499"/>
    <d v="2024-01-01T00:00:00"/>
    <n v="33"/>
    <s v="High"/>
    <n v="13"/>
    <s v="High"/>
    <s v="low"/>
    <x v="1"/>
  </r>
  <r>
    <x v="14"/>
    <s v="Annual"/>
    <d v="2024-01-19T00:00:00"/>
    <d v="2025-01-19T00:00:00"/>
    <m/>
    <n v="3999"/>
    <d v="2024-01-01T00:00:00"/>
    <n v="43"/>
    <s v="High"/>
    <n v="18"/>
    <s v="High"/>
    <s v="High"/>
    <x v="0"/>
  </r>
  <r>
    <x v="15"/>
    <s v="Monthly"/>
    <d v="2024-01-20T00:00:00"/>
    <d v="2024-02-20T00:00:00"/>
    <m/>
    <n v="499"/>
    <d v="2024-01-01T00:00:00"/>
    <n v="2"/>
    <s v="Medium"/>
    <n v="10"/>
    <s v="High"/>
    <s v="High"/>
    <x v="0"/>
  </r>
  <r>
    <x v="16"/>
    <s v="Monthly"/>
    <d v="2024-01-21T00:00:00"/>
    <d v="2024-02-21T00:00:00"/>
    <d v="2024-02-12T00:00:00"/>
    <n v="499"/>
    <d v="2024-01-01T00:00:00"/>
    <n v="6"/>
    <s v="High"/>
    <n v="9"/>
    <s v="High"/>
    <s v="High"/>
    <x v="0"/>
  </r>
  <r>
    <x v="17"/>
    <s v="Annual"/>
    <d v="2024-01-22T00:00:00"/>
    <d v="2025-01-22T00:00:00"/>
    <m/>
    <n v="3999"/>
    <d v="2024-01-01T00:00:00"/>
    <n v="42"/>
    <s v="High"/>
    <n v="11"/>
    <s v="High"/>
    <s v="High"/>
    <x v="0"/>
  </r>
  <r>
    <x v="18"/>
    <s v="Monthly"/>
    <d v="2024-01-23T00:00:00"/>
    <d v="2024-02-23T00:00:00"/>
    <m/>
    <n v="499"/>
    <d v="2024-01-01T00:00:00"/>
    <n v="27"/>
    <s v="High"/>
    <n v="8"/>
    <s v="High"/>
    <s v="low"/>
    <x v="1"/>
  </r>
  <r>
    <x v="19"/>
    <s v="Monthly"/>
    <d v="2024-01-24T00:00:00"/>
    <d v="2024-02-24T00:00:00"/>
    <d v="2024-02-15T00:00:00"/>
    <n v="499"/>
    <d v="2024-01-01T00:00:00"/>
    <n v="36"/>
    <s v="High"/>
    <n v="14"/>
    <s v="High"/>
    <s v="High"/>
    <x v="0"/>
  </r>
  <r>
    <x v="20"/>
    <s v="Annual"/>
    <d v="2024-01-25T00:00:00"/>
    <d v="2025-01-25T00:00:00"/>
    <m/>
    <n v="3999"/>
    <d v="2024-01-01T00:00:00"/>
    <n v="2"/>
    <s v="Medium"/>
    <n v="6"/>
    <s v="High"/>
    <s v="High"/>
    <x v="0"/>
  </r>
  <r>
    <x v="21"/>
    <s v="Monthly"/>
    <d v="2024-01-26T00:00:00"/>
    <d v="2024-02-26T00:00:00"/>
    <m/>
    <n v="499"/>
    <d v="2024-01-01T00:00:00"/>
    <n v="7"/>
    <s v="High"/>
    <n v="7"/>
    <s v="High"/>
    <s v="High"/>
    <x v="0"/>
  </r>
  <r>
    <x v="22"/>
    <s v="Monthly"/>
    <d v="2024-01-27T00:00:00"/>
    <d v="2024-02-27T00:00:00"/>
    <d v="2024-02-18T00:00:00"/>
    <n v="499"/>
    <d v="2024-01-01T00:00:00"/>
    <n v="40"/>
    <s v="High"/>
    <n v="15"/>
    <s v="High"/>
    <s v="High"/>
    <x v="0"/>
  </r>
  <r>
    <x v="23"/>
    <s v="Annual"/>
    <d v="2024-01-28T00:00:00"/>
    <d v="2025-01-28T00:00:00"/>
    <m/>
    <n v="3999"/>
    <d v="2024-01-01T00:00:00"/>
    <n v="29"/>
    <s v="High"/>
    <n v="9"/>
    <s v="High"/>
    <s v="High"/>
    <x v="0"/>
  </r>
  <r>
    <x v="24"/>
    <s v="Monthly"/>
    <d v="2024-01-29T00:00:00"/>
    <d v="2024-02-29T00:00:00"/>
    <m/>
    <n v="499"/>
    <d v="2024-01-01T00:00:00"/>
    <n v="34"/>
    <s v="High"/>
    <n v="12"/>
    <s v="High"/>
    <s v="High"/>
    <x v="0"/>
  </r>
  <r>
    <x v="25"/>
    <s v="Monthly"/>
    <d v="2024-01-30T00:00:00"/>
    <d v="2024-03-01T00:00:00"/>
    <d v="2024-02-20T00:00:00"/>
    <n v="499"/>
    <d v="2024-01-01T00:00:00"/>
    <n v="5"/>
    <s v="High"/>
    <n v="13"/>
    <s v="High"/>
    <s v="High"/>
    <x v="0"/>
  </r>
  <r>
    <x v="26"/>
    <s v="Annual"/>
    <d v="2024-02-01T00:00:00"/>
    <d v="2025-02-01T00:00:00"/>
    <m/>
    <n v="3999"/>
    <d v="2024-02-01T00:00:00"/>
    <n v="6"/>
    <s v="High"/>
    <n v="11"/>
    <s v="High"/>
    <s v="High"/>
    <x v="0"/>
  </r>
  <r>
    <x v="27"/>
    <s v="Monthly"/>
    <d v="2024-02-02T00:00:00"/>
    <d v="2024-03-02T00:00:00"/>
    <m/>
    <n v="499"/>
    <d v="2024-02-01T00:00:00"/>
    <n v="41"/>
    <s v="High"/>
    <n v="10"/>
    <s v="High"/>
    <s v="High"/>
    <x v="0"/>
  </r>
  <r>
    <x v="28"/>
    <s v="Monthly"/>
    <d v="2024-02-03T00:00:00"/>
    <d v="2024-03-03T00:00:00"/>
    <d v="2024-02-22T00:00:00"/>
    <n v="499"/>
    <d v="2024-02-01T00:00:00"/>
    <n v="28"/>
    <s v="High"/>
    <n v="14"/>
    <s v="High"/>
    <s v="High"/>
    <x v="0"/>
  </r>
  <r>
    <x v="29"/>
    <s v="Annual"/>
    <d v="2024-02-04T00:00:00"/>
    <d v="2025-02-04T00:00:00"/>
    <m/>
    <n v="3999"/>
    <d v="2024-02-01T00:00:00"/>
    <n v="37"/>
    <s v="High"/>
    <n v="16"/>
    <s v="High"/>
    <s v="High"/>
    <x v="0"/>
  </r>
  <r>
    <x v="30"/>
    <s v="Monthly"/>
    <d v="2024-02-05T00:00:00"/>
    <d v="2024-03-05T00:00:00"/>
    <m/>
    <n v="499"/>
    <d v="2024-02-01T00:00:00"/>
    <n v="3"/>
    <s v="Medium"/>
    <n v="8"/>
    <s v="High"/>
    <s v="High"/>
    <x v="0"/>
  </r>
  <r>
    <x v="31"/>
    <s v="Monthly"/>
    <d v="2024-02-06T00:00:00"/>
    <d v="2024-03-06T00:00:00"/>
    <d v="2024-02-25T00:00:00"/>
    <n v="499"/>
    <d v="2024-02-01T00:00:00"/>
    <n v="5"/>
    <s v="High"/>
    <n v="9"/>
    <s v="High"/>
    <s v="High"/>
    <x v="0"/>
  </r>
  <r>
    <x v="32"/>
    <s v="Annual"/>
    <d v="2024-02-07T00:00:00"/>
    <d v="2025-02-07T00:00:00"/>
    <m/>
    <n v="3999"/>
    <d v="2024-02-01T00:00:00"/>
    <n v="38"/>
    <s v="High"/>
    <n v="12"/>
    <s v="High"/>
    <s v="High"/>
    <x v="0"/>
  </r>
  <r>
    <x v="33"/>
    <s v="Monthly"/>
    <d v="2024-02-08T00:00:00"/>
    <d v="2024-03-08T00:00:00"/>
    <m/>
    <n v="499"/>
    <d v="2024-02-01T00:00:00"/>
    <n v="31"/>
    <s v="High"/>
    <n v="15"/>
    <s v="High"/>
    <s v="High"/>
    <x v="0"/>
  </r>
  <r>
    <x v="34"/>
    <s v="Monthly"/>
    <d v="2024-02-09T00:00:00"/>
    <d v="2024-03-09T00:00:00"/>
    <d v="2024-02-28T00:00:00"/>
    <n v="499"/>
    <d v="2024-02-01T00:00:00"/>
    <n v="45"/>
    <s v="High"/>
    <n v="17"/>
    <s v="High"/>
    <s v="High"/>
    <x v="0"/>
  </r>
  <r>
    <x v="35"/>
    <s v="Annual"/>
    <d v="2024-02-10T00:00:00"/>
    <d v="2025-02-10T00:00:00"/>
    <m/>
    <n v="3999"/>
    <d v="2024-02-01T00:00:00"/>
    <n v="5"/>
    <s v="High"/>
    <n v="5"/>
    <s v="High"/>
    <s v="High"/>
    <x v="0"/>
  </r>
  <r>
    <x v="36"/>
    <s v="Monthly"/>
    <d v="2024-02-11T00:00:00"/>
    <d v="2024-03-11T00:00:00"/>
    <m/>
    <n v="499"/>
    <d v="2024-02-01T00:00:00"/>
    <n v="4"/>
    <s v="Medium"/>
    <n v="4"/>
    <s v="High"/>
    <s v="High"/>
    <x v="0"/>
  </r>
  <r>
    <x v="37"/>
    <s v="Monthly"/>
    <d v="2024-02-12T00:00:00"/>
    <d v="2024-03-12T00:00:00"/>
    <d v="2024-03-02T00:00:00"/>
    <n v="499"/>
    <d v="2024-02-01T00:00:00"/>
    <n v="34"/>
    <s v="High"/>
    <n v="14"/>
    <s v="High"/>
    <s v="High"/>
    <x v="0"/>
  </r>
  <r>
    <x v="38"/>
    <s v="Annual"/>
    <d v="2024-02-13T00:00:00"/>
    <d v="2025-02-13T00:00:00"/>
    <m/>
    <n v="3999"/>
    <d v="2024-02-01T00:00:00"/>
    <n v="28"/>
    <s v="High"/>
    <n v="16"/>
    <s v="High"/>
    <s v="High"/>
    <x v="0"/>
  </r>
  <r>
    <x v="39"/>
    <s v="Monthly"/>
    <d v="2024-02-14T00:00:00"/>
    <d v="2024-03-14T00:00:00"/>
    <m/>
    <n v="499"/>
    <d v="2024-02-01T00:00:00"/>
    <n v="43"/>
    <s v="High"/>
    <n v="15"/>
    <s v="High"/>
    <s v="High"/>
    <x v="0"/>
  </r>
  <r>
    <x v="40"/>
    <s v="Monthly"/>
    <d v="2024-02-15T00:00:00"/>
    <d v="2024-03-15T00:00:00"/>
    <d v="2024-03-05T00:00:00"/>
    <n v="499"/>
    <d v="2024-02-01T00:00:00"/>
    <n v="4"/>
    <s v="Medium"/>
    <n v="3"/>
    <s v="High"/>
    <s v="High"/>
    <x v="0"/>
  </r>
  <r>
    <x v="41"/>
    <s v="Annual"/>
    <d v="2024-02-16T00:00:00"/>
    <d v="2025-02-16T00:00:00"/>
    <m/>
    <n v="3999"/>
    <d v="2024-02-01T00:00:00"/>
    <n v="5"/>
    <s v="High"/>
    <n v="5"/>
    <s v="High"/>
    <s v="low"/>
    <x v="1"/>
  </r>
  <r>
    <x v="42"/>
    <s v="Monthly"/>
    <d v="2024-02-17T00:00:00"/>
    <d v="2024-03-17T00:00:00"/>
    <m/>
    <n v="499"/>
    <d v="2024-02-01T00:00:00"/>
    <n v="32"/>
    <s v="High"/>
    <n v="16"/>
    <s v="High"/>
    <s v="High"/>
    <x v="0"/>
  </r>
  <r>
    <x v="43"/>
    <s v="Monthly"/>
    <d v="2024-02-18T00:00:00"/>
    <d v="2024-03-18T00:00:00"/>
    <d v="2024-03-08T00:00:00"/>
    <n v="499"/>
    <d v="2024-02-01T00:00:00"/>
    <n v="35"/>
    <s v="High"/>
    <n v="17"/>
    <s v="High"/>
    <s v="High"/>
    <x v="0"/>
  </r>
  <r>
    <x v="44"/>
    <s v="Annual"/>
    <d v="2024-02-19T00:00:00"/>
    <d v="2025-02-19T00:00:00"/>
    <m/>
    <n v="3999"/>
    <d v="2024-02-01T00:00:00"/>
    <n v="37"/>
    <s v="High"/>
    <n v="14"/>
    <s v="High"/>
    <s v="High"/>
    <x v="0"/>
  </r>
  <r>
    <x v="45"/>
    <s v="Monthly"/>
    <d v="2024-02-20T00:00:00"/>
    <d v="2024-03-20T00:00:00"/>
    <m/>
    <n v="499"/>
    <d v="2024-02-01T00:00:00"/>
    <n v="3"/>
    <s v="Medium"/>
    <n v="4"/>
    <s v="High"/>
    <s v="High"/>
    <x v="0"/>
  </r>
  <r>
    <x v="46"/>
    <s v="Monthly"/>
    <d v="2024-02-21T00:00:00"/>
    <d v="2024-03-21T00:00:00"/>
    <d v="2024-03-10T00:00:00"/>
    <n v="499"/>
    <d v="2024-02-01T00:00:00"/>
    <n v="4"/>
    <s v="Medium"/>
    <n v="5"/>
    <s v="High"/>
    <s v="High"/>
    <x v="0"/>
  </r>
  <r>
    <x v="47"/>
    <s v="Annual"/>
    <d v="2024-02-22T00:00:00"/>
    <d v="2025-02-22T00:00:00"/>
    <m/>
    <n v="3999"/>
    <d v="2024-02-01T00:00:00"/>
    <n v="32"/>
    <s v="High"/>
    <n v="13"/>
    <s v="High"/>
    <s v="High"/>
    <x v="0"/>
  </r>
  <r>
    <x v="48"/>
    <s v="Monthly"/>
    <d v="2024-02-23T00:00:00"/>
    <d v="2024-03-23T00:00:00"/>
    <m/>
    <n v="499"/>
    <d v="2024-02-01T00:00:00"/>
    <n v="27"/>
    <s v="High"/>
    <n v="14"/>
    <s v="High"/>
    <s v="High"/>
    <x v="0"/>
  </r>
  <r>
    <x v="49"/>
    <s v="Monthly"/>
    <d v="2024-02-24T00:00:00"/>
    <d v="2024-03-24T00:00:00"/>
    <d v="2024-03-12T00:00:00"/>
    <n v="499"/>
    <d v="2024-02-01T00:00:00"/>
    <n v="40"/>
    <s v="High"/>
    <n v="14"/>
    <s v="High"/>
    <s v="High"/>
    <x v="0"/>
  </r>
  <r>
    <x v="50"/>
    <s v="Annual"/>
    <d v="2024-02-25T00:00:00"/>
    <d v="2025-02-25T00:00:00"/>
    <m/>
    <n v="3999"/>
    <d v="2024-02-01T00:00:00"/>
    <n v="3"/>
    <s v="Medium"/>
    <n v="5"/>
    <s v="High"/>
    <s v="High"/>
    <x v="0"/>
  </r>
  <r>
    <x v="51"/>
    <s v="Monthly"/>
    <d v="2024-02-26T00:00:00"/>
    <d v="2024-03-26T00:00:00"/>
    <m/>
    <n v="499"/>
    <d v="2024-02-01T00:00:00"/>
    <n v="2"/>
    <s v="Medium"/>
    <n v="4"/>
    <s v="High"/>
    <s v="High"/>
    <x v="0"/>
  </r>
  <r>
    <x v="52"/>
    <s v="Monthly"/>
    <d v="2024-02-27T00:00:00"/>
    <d v="2024-03-27T00:00:00"/>
    <d v="2024-03-15T00:00:00"/>
    <n v="499"/>
    <d v="2024-02-01T00:00:00"/>
    <n v="36"/>
    <s v="High"/>
    <n v="12"/>
    <s v="High"/>
    <s v="High"/>
    <x v="0"/>
  </r>
  <r>
    <x v="53"/>
    <s v="Annual"/>
    <d v="2024-02-28T00:00:00"/>
    <d v="2025-02-28T00:00:00"/>
    <m/>
    <n v="3999"/>
    <d v="2024-02-01T00:00:00"/>
    <n v="27"/>
    <s v="High"/>
    <n v="15"/>
    <s v="High"/>
    <s v="High"/>
    <x v="0"/>
  </r>
  <r>
    <x v="54"/>
    <s v="Monthly"/>
    <d v="2024-03-01T00:00:00"/>
    <d v="2024-04-01T00:00:00"/>
    <m/>
    <n v="499"/>
    <d v="2024-03-01T00:00:00"/>
    <n v="40"/>
    <s v="High"/>
    <n v="16"/>
    <s v="High"/>
    <s v="High"/>
    <x v="0"/>
  </r>
  <r>
    <x v="55"/>
    <s v="Monthly"/>
    <d v="2024-03-02T00:00:00"/>
    <d v="2024-04-02T00:00:00"/>
    <d v="2024-03-20T00:00:00"/>
    <n v="499"/>
    <d v="2024-03-01T00:00:00"/>
    <n v="2"/>
    <s v="Medium"/>
    <n v="4"/>
    <s v="High"/>
    <s v="High"/>
    <x v="0"/>
  </r>
  <r>
    <x v="56"/>
    <s v="Annual"/>
    <d v="2024-03-03T00:00:00"/>
    <d v="2025-03-03T00:00:00"/>
    <m/>
    <n v="3999"/>
    <d v="2024-03-01T00:00:00"/>
    <n v="4"/>
    <s v="Medium"/>
    <n v="4"/>
    <s v="High"/>
    <s v="High"/>
    <x v="0"/>
  </r>
  <r>
    <x v="57"/>
    <s v="Monthly"/>
    <d v="2024-03-04T00:00:00"/>
    <d v="2024-04-04T00:00:00"/>
    <m/>
    <n v="499"/>
    <d v="2024-03-01T00:00:00"/>
    <n v="27"/>
    <s v="High"/>
    <n v="15"/>
    <s v="High"/>
    <s v="High"/>
    <x v="0"/>
  </r>
  <r>
    <x v="58"/>
    <s v="Monthly"/>
    <d v="2024-03-05T00:00:00"/>
    <d v="2024-04-05T00:00:00"/>
    <d v="2024-03-25T00:00:00"/>
    <n v="499"/>
    <d v="2024-03-01T00:00:00"/>
    <n v="32"/>
    <s v="High"/>
    <n v="12"/>
    <s v="High"/>
    <s v="High"/>
    <x v="0"/>
  </r>
  <r>
    <x v="59"/>
    <s v="Annual"/>
    <d v="2024-03-06T00:00:00"/>
    <d v="2025-03-06T00:00:00"/>
    <m/>
    <n v="3999"/>
    <d v="2024-03-01T00:00:00"/>
    <n v="43"/>
    <s v="High"/>
    <n v="16"/>
    <s v="High"/>
    <s v="High"/>
    <x v="0"/>
  </r>
  <r>
    <x v="60"/>
    <s v="Monthly"/>
    <d v="2024-03-07T00:00:00"/>
    <d v="2024-04-07T00:00:00"/>
    <m/>
    <n v="499"/>
    <d v="2024-03-01T00:00:00"/>
    <n v="8"/>
    <s v="High"/>
    <n v="6"/>
    <s v="High"/>
    <s v="High"/>
    <x v="0"/>
  </r>
  <r>
    <x v="61"/>
    <s v="Monthly"/>
    <d v="2024-03-08T00:00:00"/>
    <d v="2024-04-08T00:00:00"/>
    <d v="2024-03-28T00:00:00"/>
    <n v="499"/>
    <d v="2024-03-01T00:00:00"/>
    <n v="4"/>
    <s v="Medium"/>
    <n v="2"/>
    <s v="Medium"/>
    <s v="Medium"/>
    <x v="0"/>
  </r>
  <r>
    <x v="62"/>
    <s v="Annual"/>
    <d v="2024-03-09T00:00:00"/>
    <d v="2025-03-09T00:00:00"/>
    <m/>
    <n v="3999"/>
    <d v="2024-03-01T00:00:00"/>
    <n v="30"/>
    <s v="High"/>
    <n v="14"/>
    <s v="High"/>
    <s v="High"/>
    <x v="0"/>
  </r>
  <r>
    <x v="63"/>
    <s v="Monthly"/>
    <d v="2024-03-10T00:00:00"/>
    <d v="2024-04-10T00:00:00"/>
    <m/>
    <n v="499"/>
    <d v="2024-03-01T00:00:00"/>
    <n v="32"/>
    <s v="High"/>
    <n v="12"/>
    <s v="High"/>
    <s v="High"/>
    <x v="0"/>
  </r>
  <r>
    <x v="64"/>
    <s v="Monthly"/>
    <d v="2024-03-11T00:00:00"/>
    <d v="2024-04-11T00:00:00"/>
    <d v="2024-03-30T00:00:00"/>
    <n v="499"/>
    <d v="2024-03-01T00:00:00"/>
    <n v="37"/>
    <s v="High"/>
    <n v="15"/>
    <s v="High"/>
    <s v="High"/>
    <x v="0"/>
  </r>
  <r>
    <x v="65"/>
    <s v="Annual"/>
    <d v="2024-03-12T00:00:00"/>
    <d v="2025-03-12T00:00:00"/>
    <m/>
    <n v="3999"/>
    <d v="2024-03-01T00:00:00"/>
    <n v="1"/>
    <s v="Low"/>
    <n v="10"/>
    <s v="High"/>
    <s v="High"/>
    <x v="0"/>
  </r>
  <r>
    <x v="66"/>
    <s v="Monthly"/>
    <d v="2024-03-13T00:00:00"/>
    <d v="2024-04-13T00:00:00"/>
    <m/>
    <n v="499"/>
    <d v="2024-03-01T00:00:00"/>
    <n v="3"/>
    <s v="Medium"/>
    <n v="9"/>
    <s v="High"/>
    <s v="High"/>
    <x v="0"/>
  </r>
  <r>
    <x v="67"/>
    <s v="Monthly"/>
    <d v="2024-03-14T00:00:00"/>
    <d v="2024-04-14T00:00:00"/>
    <d v="2024-04-02T00:00:00"/>
    <n v="499"/>
    <d v="2024-03-01T00:00:00"/>
    <n v="33"/>
    <s v="High"/>
    <n v="11"/>
    <s v="High"/>
    <s v="High"/>
    <x v="0"/>
  </r>
  <r>
    <x v="68"/>
    <s v="Annual"/>
    <d v="2024-03-15T00:00:00"/>
    <d v="2025-03-15T00:00:00"/>
    <m/>
    <n v="3999"/>
    <d v="2024-03-01T00:00:00"/>
    <n v="33"/>
    <s v="High"/>
    <n v="8"/>
    <s v="High"/>
    <s v="High"/>
    <x v="0"/>
  </r>
  <r>
    <x v="69"/>
    <s v="Monthly"/>
    <d v="2024-03-16T00:00:00"/>
    <d v="2024-04-16T00:00:00"/>
    <m/>
    <n v="499"/>
    <d v="2024-03-01T00:00:00"/>
    <n v="39"/>
    <s v="High"/>
    <n v="14"/>
    <s v="High"/>
    <s v="High"/>
    <x v="0"/>
  </r>
  <r>
    <x v="70"/>
    <s v="Monthly"/>
    <d v="2024-03-17T00:00:00"/>
    <d v="2024-04-17T00:00:00"/>
    <d v="2024-04-05T00:00:00"/>
    <n v="499"/>
    <d v="2024-03-01T00:00:00"/>
    <n v="3"/>
    <s v="Medium"/>
    <n v="6"/>
    <s v="High"/>
    <s v="High"/>
    <x v="0"/>
  </r>
  <r>
    <x v="71"/>
    <s v="Annual"/>
    <d v="2024-03-18T00:00:00"/>
    <d v="2025-03-18T00:00:00"/>
    <m/>
    <n v="3999"/>
    <d v="2024-03-01T00:00:00"/>
    <n v="4"/>
    <s v="Medium"/>
    <n v="7"/>
    <s v="High"/>
    <s v="High"/>
    <x v="0"/>
  </r>
  <r>
    <x v="72"/>
    <s v="Monthly"/>
    <d v="2024-03-19T00:00:00"/>
    <d v="2024-04-19T00:00:00"/>
    <m/>
    <n v="499"/>
    <d v="2024-03-01T00:00:00"/>
    <n v="38"/>
    <s v="High"/>
    <n v="15"/>
    <s v="High"/>
    <s v="High"/>
    <x v="0"/>
  </r>
  <r>
    <x v="73"/>
    <s v="Monthly"/>
    <d v="2024-03-20T00:00:00"/>
    <d v="2024-04-20T00:00:00"/>
    <d v="2024-04-08T00:00:00"/>
    <n v="499"/>
    <d v="2024-03-01T00:00:00"/>
    <n v="31"/>
    <s v="High"/>
    <n v="9"/>
    <s v="High"/>
    <s v="High"/>
    <x v="0"/>
  </r>
  <r>
    <x v="74"/>
    <s v="Annual"/>
    <d v="2024-03-21T00:00:00"/>
    <d v="2025-03-21T00:00:00"/>
    <m/>
    <n v="3999"/>
    <d v="2024-03-01T00:00:00"/>
    <n v="33"/>
    <s v="High"/>
    <n v="12"/>
    <s v="High"/>
    <s v="High"/>
    <x v="0"/>
  </r>
  <r>
    <x v="75"/>
    <s v="Monthly"/>
    <d v="2024-03-22T00:00:00"/>
    <d v="2024-04-22T00:00:00"/>
    <m/>
    <n v="499"/>
    <d v="2024-03-01T00:00:00"/>
    <n v="2"/>
    <s v="Medium"/>
    <n v="13"/>
    <s v="High"/>
    <s v="High"/>
    <x v="0"/>
  </r>
  <r>
    <x v="76"/>
    <s v="Monthly"/>
    <d v="2024-03-23T00:00:00"/>
    <d v="2024-04-23T00:00:00"/>
    <d v="2024-04-10T00:00:00"/>
    <n v="499"/>
    <d v="2024-03-01T00:00:00"/>
    <n v="3"/>
    <s v="Medium"/>
    <n v="11"/>
    <s v="High"/>
    <s v="High"/>
    <x v="0"/>
  </r>
  <r>
    <x v="77"/>
    <s v="Annual"/>
    <d v="2024-03-24T00:00:00"/>
    <d v="2025-03-24T00:00:00"/>
    <m/>
    <n v="3999"/>
    <d v="2024-03-01T00:00:00"/>
    <n v="37"/>
    <s v="High"/>
    <n v="10"/>
    <s v="High"/>
    <s v="High"/>
    <x v="0"/>
  </r>
  <r>
    <x v="78"/>
    <s v="Monthly"/>
    <d v="2024-03-25T00:00:00"/>
    <d v="2024-04-25T00:00:00"/>
    <m/>
    <n v="499"/>
    <d v="2024-03-01T00:00:00"/>
    <n v="29"/>
    <s v="High"/>
    <n v="14"/>
    <s v="High"/>
    <s v="High"/>
    <x v="0"/>
  </r>
  <r>
    <x v="79"/>
    <s v="Monthly"/>
    <d v="2024-03-26T00:00:00"/>
    <d v="2024-04-26T00:00:00"/>
    <d v="2024-04-12T00:00:00"/>
    <n v="499"/>
    <d v="2024-03-01T00:00:00"/>
    <n v="43"/>
    <s v="High"/>
    <n v="16"/>
    <s v="High"/>
    <s v="High"/>
    <x v="0"/>
  </r>
  <r>
    <x v="80"/>
    <s v="Annual"/>
    <d v="2024-03-27T00:00:00"/>
    <d v="2025-03-27T00:00:00"/>
    <m/>
    <n v="3999"/>
    <d v="2024-03-01T00:00:00"/>
    <n v="5"/>
    <s v="High"/>
    <n v="8"/>
    <s v="High"/>
    <s v="High"/>
    <x v="0"/>
  </r>
  <r>
    <x v="81"/>
    <s v="Monthly"/>
    <d v="2024-03-28T00:00:00"/>
    <d v="2024-04-28T00:00:00"/>
    <m/>
    <n v="499"/>
    <d v="2024-03-01T00:00:00"/>
    <n v="4"/>
    <s v="Medium"/>
    <n v="9"/>
    <s v="High"/>
    <s v="High"/>
    <x v="0"/>
  </r>
  <r>
    <x v="82"/>
    <s v="Monthly"/>
    <d v="2024-03-29T00:00:00"/>
    <d v="2024-04-29T00:00:00"/>
    <d v="2024-04-15T00:00:00"/>
    <n v="499"/>
    <d v="2024-03-01T00:00:00"/>
    <n v="39"/>
    <s v="High"/>
    <n v="12"/>
    <s v="High"/>
    <s v="High"/>
    <x v="0"/>
  </r>
  <r>
    <x v="83"/>
    <s v="Annual"/>
    <d v="2024-03-30T00:00:00"/>
    <d v="2025-03-30T00:00:00"/>
    <m/>
    <n v="3999"/>
    <d v="2024-03-01T00:00:00"/>
    <n v="33"/>
    <s v="High"/>
    <n v="15"/>
    <s v="High"/>
    <s v="High"/>
    <x v="0"/>
  </r>
  <r>
    <x v="84"/>
    <s v="Monthly"/>
    <d v="2024-03-31T00:00:00"/>
    <d v="2024-04-30T00:00:00"/>
    <m/>
    <n v="499"/>
    <d v="2024-03-01T00:00:00"/>
    <n v="39"/>
    <s v="High"/>
    <n v="16"/>
    <s v="High"/>
    <s v="High"/>
    <x v="0"/>
  </r>
  <r>
    <x v="85"/>
    <s v="Monthly"/>
    <d v="2024-04-01T00:00:00"/>
    <d v="2024-05-01T00:00:00"/>
    <d v="2024-04-18T00:00:00"/>
    <n v="499"/>
    <d v="2024-04-01T00:00:00"/>
    <n v="5"/>
    <s v="High"/>
    <n v="3"/>
    <s v="High"/>
    <s v="High"/>
    <x v="0"/>
  </r>
  <r>
    <x v="86"/>
    <s v="Annual"/>
    <d v="2024-04-02T00:00:00"/>
    <d v="2025-04-02T00:00:00"/>
    <m/>
    <n v="3999"/>
    <d v="2024-04-01T00:00:00"/>
    <n v="6"/>
    <s v="High"/>
    <n v="4"/>
    <s v="High"/>
    <s v="High"/>
    <x v="0"/>
  </r>
  <r>
    <x v="87"/>
    <s v="Monthly"/>
    <d v="2024-04-03T00:00:00"/>
    <d v="2024-05-03T00:00:00"/>
    <m/>
    <n v="499"/>
    <d v="2024-04-01T00:00:00"/>
    <n v="31"/>
    <s v="High"/>
    <n v="13"/>
    <s v="High"/>
    <s v="High"/>
    <x v="0"/>
  </r>
  <r>
    <x v="88"/>
    <s v="Monthly"/>
    <d v="2024-04-04T00:00:00"/>
    <d v="2024-05-04T00:00:00"/>
    <d v="2024-04-22T00:00:00"/>
    <n v="499"/>
    <d v="2024-04-01T00:00:00"/>
    <n v="34"/>
    <s v="High"/>
    <n v="16"/>
    <s v="High"/>
    <s v="High"/>
    <x v="0"/>
  </r>
  <r>
    <x v="89"/>
    <s v="Annual"/>
    <d v="2024-04-05T00:00:00"/>
    <d v="2025-04-05T00:00:00"/>
    <m/>
    <n v="3999"/>
    <d v="2024-04-01T00:00:00"/>
    <n v="40"/>
    <s v="High"/>
    <n v="16"/>
    <s v="High"/>
    <s v="High"/>
    <x v="0"/>
  </r>
  <r>
    <x v="90"/>
    <s v="Monthly"/>
    <d v="2024-04-06T00:00:00"/>
    <d v="2024-05-06T00:00:00"/>
    <m/>
    <n v="499"/>
    <d v="2024-04-01T00:00:00"/>
    <n v="7"/>
    <s v="High"/>
    <n v="4"/>
    <s v="High"/>
    <s v="High"/>
    <x v="0"/>
  </r>
  <r>
    <x v="91"/>
    <s v="Monthly"/>
    <d v="2024-04-07T00:00:00"/>
    <d v="2024-05-07T00:00:00"/>
    <d v="2024-04-25T00:00:00"/>
    <n v="499"/>
    <d v="2024-04-01T00:00:00"/>
    <n v="1"/>
    <s v="Low"/>
    <n v="3"/>
    <s v="High"/>
    <s v="High"/>
    <x v="0"/>
  </r>
  <r>
    <x v="92"/>
    <s v="Annual"/>
    <d v="2024-04-08T00:00:00"/>
    <d v="2025-04-08T00:00:00"/>
    <m/>
    <n v="3999"/>
    <d v="2024-04-01T00:00:00"/>
    <n v="36"/>
    <s v="High"/>
    <n v="13"/>
    <s v="High"/>
    <s v="High"/>
    <x v="0"/>
  </r>
  <r>
    <x v="93"/>
    <s v="Monthly"/>
    <d v="2024-04-09T00:00:00"/>
    <d v="2024-05-09T00:00:00"/>
    <m/>
    <n v="499"/>
    <d v="2024-04-01T00:00:00"/>
    <n v="29"/>
    <s v="High"/>
    <n v="14"/>
    <s v="High"/>
    <s v="High"/>
    <x v="0"/>
  </r>
  <r>
    <x v="94"/>
    <s v="Monthly"/>
    <d v="2024-04-10T00:00:00"/>
    <d v="2024-05-10T00:00:00"/>
    <d v="2024-04-28T00:00:00"/>
    <n v="499"/>
    <d v="2024-04-01T00:00:00"/>
    <n v="36"/>
    <s v="High"/>
    <n v="17"/>
    <s v="High"/>
    <s v="High"/>
    <x v="0"/>
  </r>
  <r>
    <x v="95"/>
    <s v="Annual"/>
    <d v="2024-04-11T00:00:00"/>
    <d v="2025-04-11T00:00:00"/>
    <m/>
    <n v="3999"/>
    <d v="2024-04-01T00:00:00"/>
    <n v="3"/>
    <s v="Medium"/>
    <n v="3"/>
    <s v="High"/>
    <s v="High"/>
    <x v="0"/>
  </r>
  <r>
    <x v="96"/>
    <s v="Monthly"/>
    <d v="2024-04-12T00:00:00"/>
    <d v="2024-05-12T00:00:00"/>
    <m/>
    <n v="499"/>
    <d v="2024-04-01T00:00:00"/>
    <n v="6"/>
    <s v="High"/>
    <n v="4"/>
    <s v="High"/>
    <s v="High"/>
    <x v="0"/>
  </r>
  <r>
    <x v="97"/>
    <s v="Monthly"/>
    <d v="2024-04-13T00:00:00"/>
    <d v="2024-05-13T00:00:00"/>
    <d v="2024-04-30T00:00:00"/>
    <n v="499"/>
    <d v="2024-04-01T00:00:00"/>
    <n v="35"/>
    <s v="High"/>
    <n v="15"/>
    <s v="High"/>
    <s v="High"/>
    <x v="0"/>
  </r>
  <r>
    <x v="98"/>
    <s v="Annual"/>
    <d v="2024-04-14T00:00:00"/>
    <d v="2025-04-14T00:00:00"/>
    <m/>
    <n v="3999"/>
    <d v="2024-04-01T00:00:00"/>
    <n v="32"/>
    <s v="High"/>
    <n v="16"/>
    <s v="High"/>
    <s v="High"/>
    <x v="0"/>
  </r>
  <r>
    <x v="99"/>
    <s v="Monthly"/>
    <d v="2024-04-15T00:00:00"/>
    <d v="2024-05-15T00:00:00"/>
    <m/>
    <n v="499"/>
    <d v="2024-04-01T00:00:00"/>
    <n v="39"/>
    <s v="High"/>
    <n v="17"/>
    <s v="High"/>
    <s v="High"/>
    <x v="0"/>
  </r>
  <r>
    <x v="100"/>
    <s v="Monthly"/>
    <d v="2024-04-16T00:00:00"/>
    <d v="2024-05-16T00:00:00"/>
    <d v="2024-05-03T00:00:00"/>
    <n v="499"/>
    <d v="2024-04-01T00:00:00"/>
    <n v="2"/>
    <s v="Medium"/>
    <n v="2"/>
    <s v="Medium"/>
    <s v="Medium"/>
    <x v="0"/>
  </r>
  <r>
    <x v="101"/>
    <s v="Annual"/>
    <d v="2024-04-17T00:00:00"/>
    <d v="2025-04-17T00:00:00"/>
    <m/>
    <n v="3999"/>
    <d v="2024-04-01T00:00:00"/>
    <n v="4"/>
    <s v="Medium"/>
    <n v="3"/>
    <s v="High"/>
    <s v="High"/>
    <x v="0"/>
  </r>
  <r>
    <x v="102"/>
    <s v="Monthly"/>
    <d v="2024-04-18T00:00:00"/>
    <d v="2024-05-18T00:00:00"/>
    <m/>
    <n v="499"/>
    <d v="2024-04-01T00:00:00"/>
    <n v="31"/>
    <s v="High"/>
    <n v="14"/>
    <s v="High"/>
    <s v="High"/>
    <x v="0"/>
  </r>
  <r>
    <x v="103"/>
    <s v="Monthly"/>
    <d v="2024-04-19T00:00:00"/>
    <d v="2024-05-19T00:00:00"/>
    <d v="2024-05-06T00:00:00"/>
    <n v="499"/>
    <d v="2024-04-01T00:00:00"/>
    <n v="29"/>
    <s v="High"/>
    <n v="14"/>
    <s v="High"/>
    <s v="High"/>
    <x v="0"/>
  </r>
  <r>
    <x v="104"/>
    <s v="Annual"/>
    <d v="2024-04-20T00:00:00"/>
    <d v="2025-04-20T00:00:00"/>
    <m/>
    <n v="3999"/>
    <d v="2024-04-01T00:00:00"/>
    <n v="45"/>
    <s v="High"/>
    <n v="13"/>
    <s v="High"/>
    <s v="High"/>
    <x v="0"/>
  </r>
  <r>
    <x v="105"/>
    <s v="Monthly"/>
    <d v="2024-04-21T00:00:00"/>
    <d v="2024-05-21T00:00:00"/>
    <m/>
    <n v="499"/>
    <d v="2024-04-01T00:00:00"/>
    <n v="3"/>
    <s v="Medium"/>
    <n v="5"/>
    <s v="High"/>
    <s v="High"/>
    <x v="0"/>
  </r>
  <r>
    <x v="106"/>
    <s v="Monthly"/>
    <d v="2024-04-22T00:00:00"/>
    <d v="2024-05-22T00:00:00"/>
    <d v="2024-05-09T00:00:00"/>
    <n v="499"/>
    <d v="2024-04-01T00:00:00"/>
    <n v="5"/>
    <s v="High"/>
    <n v="4"/>
    <s v="High"/>
    <s v="High"/>
    <x v="0"/>
  </r>
  <r>
    <x v="107"/>
    <s v="Annual"/>
    <d v="2024-04-23T00:00:00"/>
    <d v="2025-04-23T00:00:00"/>
    <m/>
    <n v="3999"/>
    <d v="2024-04-01T00:00:00"/>
    <n v="35"/>
    <s v="High"/>
    <n v="16"/>
    <s v="High"/>
    <s v="High"/>
    <x v="0"/>
  </r>
  <r>
    <x v="108"/>
    <s v="Monthly"/>
    <d v="2024-04-24T00:00:00"/>
    <d v="2024-05-24T00:00:00"/>
    <m/>
    <n v="499"/>
    <d v="2024-04-01T00:00:00"/>
    <n v="34"/>
    <s v="High"/>
    <n v="12"/>
    <s v="High"/>
    <s v="High"/>
    <x v="0"/>
  </r>
  <r>
    <x v="109"/>
    <s v="Monthly"/>
    <d v="2024-04-25T00:00:00"/>
    <d v="2024-05-25T00:00:00"/>
    <d v="2024-05-12T00:00:00"/>
    <n v="499"/>
    <d v="2024-04-01T00:00:00"/>
    <n v="46"/>
    <s v="High"/>
    <n v="17"/>
    <s v="High"/>
    <s v="High"/>
    <x v="0"/>
  </r>
  <r>
    <x v="110"/>
    <s v="Annual"/>
    <d v="2024-04-26T00:00:00"/>
    <d v="2025-04-26T00:00:00"/>
    <m/>
    <n v="3999"/>
    <d v="2024-04-01T00:00:00"/>
    <n v="5"/>
    <s v="High"/>
    <n v="1"/>
    <s v="Low"/>
    <s v="High"/>
    <x v="0"/>
  </r>
  <r>
    <x v="111"/>
    <s v="Monthly"/>
    <d v="2024-04-27T00:00:00"/>
    <d v="2024-05-27T00:00:00"/>
    <m/>
    <n v="499"/>
    <d v="2024-04-01T00:00:00"/>
    <n v="2"/>
    <s v="Medium"/>
    <n v="6"/>
    <s v="High"/>
    <s v="High"/>
    <x v="0"/>
  </r>
  <r>
    <x v="112"/>
    <s v="Monthly"/>
    <d v="2024-04-28T00:00:00"/>
    <d v="2024-05-28T00:00:00"/>
    <d v="2024-05-15T00:00:00"/>
    <n v="499"/>
    <d v="2024-04-01T00:00:00"/>
    <n v="33"/>
    <s v="High"/>
    <n v="13"/>
    <s v="High"/>
    <s v="High"/>
    <x v="0"/>
  </r>
  <r>
    <x v="113"/>
    <s v="Annual"/>
    <d v="2024-04-29T00:00:00"/>
    <d v="2025-04-29T00:00:00"/>
    <m/>
    <n v="3999"/>
    <d v="2024-04-01T00:00:00"/>
    <n v="35"/>
    <s v="High"/>
    <n v="15"/>
    <s v="High"/>
    <s v="High"/>
    <x v="0"/>
  </r>
  <r>
    <x v="114"/>
    <s v="Monthly"/>
    <d v="2024-04-30T00:00:00"/>
    <d v="2024-05-30T00:00:00"/>
    <m/>
    <n v="499"/>
    <d v="2024-04-01T00:00:00"/>
    <n v="34"/>
    <s v="High"/>
    <n v="16"/>
    <s v="High"/>
    <s v="High"/>
    <x v="0"/>
  </r>
  <r>
    <x v="115"/>
    <s v="Monthly"/>
    <d v="2024-05-01T00:00:00"/>
    <d v="2024-06-01T00:00:00"/>
    <d v="2024-05-18T00:00:00"/>
    <n v="499"/>
    <d v="2024-05-01T00:00:00"/>
    <n v="5"/>
    <s v="High"/>
    <n v="8"/>
    <s v="High"/>
    <s v="High"/>
    <x v="0"/>
  </r>
  <r>
    <x v="116"/>
    <s v="Annual"/>
    <d v="2024-05-02T00:00:00"/>
    <d v="2025-05-02T00:00:00"/>
    <m/>
    <n v="3999"/>
    <d v="2024-05-01T00:00:00"/>
    <n v="4"/>
    <s v="Medium"/>
    <n v="7"/>
    <s v="High"/>
    <s v="High"/>
    <x v="0"/>
  </r>
  <r>
    <x v="117"/>
    <s v="Monthly"/>
    <d v="2024-05-03T00:00:00"/>
    <d v="2024-06-03T00:00:00"/>
    <m/>
    <n v="499"/>
    <d v="2024-05-01T00:00:00"/>
    <n v="28"/>
    <s v="High"/>
    <n v="11"/>
    <s v="High"/>
    <s v="High"/>
    <x v="0"/>
  </r>
  <r>
    <x v="118"/>
    <s v="Monthly"/>
    <d v="2024-05-04T00:00:00"/>
    <d v="2024-06-04T00:00:00"/>
    <d v="2024-05-21T00:00:00"/>
    <n v="499"/>
    <d v="2024-05-01T00:00:00"/>
    <n v="34"/>
    <s v="High"/>
    <n v="9"/>
    <s v="High"/>
    <s v="High"/>
    <x v="0"/>
  </r>
  <r>
    <x v="119"/>
    <s v="Annual"/>
    <d v="2024-05-05T00:00:00"/>
    <d v="2025-05-05T00:00:00"/>
    <m/>
    <n v="3999"/>
    <d v="2024-05-01T00:00:00"/>
    <n v="42"/>
    <s v="High"/>
    <n v="14"/>
    <s v="High"/>
    <s v="High"/>
    <x v="0"/>
  </r>
  <r>
    <x v="120"/>
    <s v="Monthly"/>
    <d v="2024-05-06T00:00:00"/>
    <d v="2024-06-06T00:00:00"/>
    <m/>
    <n v="499"/>
    <d v="2024-05-01T00:00:00"/>
    <n v="2"/>
    <s v="Medium"/>
    <n v="6"/>
    <s v="High"/>
    <s v="High"/>
    <x v="0"/>
  </r>
  <r>
    <x v="121"/>
    <s v="Monthly"/>
    <d v="2024-05-07T00:00:00"/>
    <d v="2024-06-07T00:00:00"/>
    <d v="2024-05-24T00:00:00"/>
    <n v="499"/>
    <d v="2024-05-01T00:00:00"/>
    <n v="3"/>
    <s v="Medium"/>
    <n v="5"/>
    <s v="High"/>
    <s v="High"/>
    <x v="0"/>
  </r>
  <r>
    <x v="122"/>
    <s v="Annual"/>
    <d v="2024-05-08T00:00:00"/>
    <d v="2025-05-08T00:00:00"/>
    <m/>
    <n v="3999"/>
    <d v="2024-05-01T00:00:00"/>
    <n v="34"/>
    <s v="High"/>
    <n v="15"/>
    <s v="High"/>
    <s v="High"/>
    <x v="0"/>
  </r>
  <r>
    <x v="123"/>
    <s v="Monthly"/>
    <d v="2024-05-09T00:00:00"/>
    <d v="2024-06-09T00:00:00"/>
    <m/>
    <n v="499"/>
    <d v="2024-05-01T00:00:00"/>
    <n v="32"/>
    <s v="High"/>
    <n v="10"/>
    <s v="High"/>
    <s v="High"/>
    <x v="0"/>
  </r>
  <r>
    <x v="124"/>
    <s v="Monthly"/>
    <d v="2024-05-10T00:00:00"/>
    <d v="2024-06-10T00:00:00"/>
    <d v="2024-05-27T00:00:00"/>
    <n v="499"/>
    <d v="2024-05-01T00:00:00"/>
    <n v="44"/>
    <s v="High"/>
    <n v="13"/>
    <s v="High"/>
    <s v="High"/>
    <x v="0"/>
  </r>
  <r>
    <x v="125"/>
    <s v="Annual"/>
    <d v="2024-05-11T00:00:00"/>
    <d v="2025-05-11T00:00:00"/>
    <m/>
    <n v="3999"/>
    <d v="2024-05-01T00:00:00"/>
    <n v="3"/>
    <s v="Medium"/>
    <n v="12"/>
    <s v="High"/>
    <s v="High"/>
    <x v="0"/>
  </r>
  <r>
    <x v="126"/>
    <s v="Monthly"/>
    <d v="2024-05-12T00:00:00"/>
    <d v="2024-06-12T00:00:00"/>
    <m/>
    <n v="499"/>
    <d v="2024-05-01T00:00:00"/>
    <n v="2"/>
    <s v="Medium"/>
    <n v="11"/>
    <s v="High"/>
    <s v="High"/>
    <x v="0"/>
  </r>
  <r>
    <x v="127"/>
    <s v="Monthly"/>
    <d v="2024-05-13T00:00:00"/>
    <d v="2024-06-13T00:00:00"/>
    <d v="2024-05-30T00:00:00"/>
    <n v="499"/>
    <d v="2024-05-01T00:00:00"/>
    <n v="35"/>
    <s v="High"/>
    <n v="9"/>
    <s v="High"/>
    <s v="High"/>
    <x v="0"/>
  </r>
  <r>
    <x v="128"/>
    <s v="Annual"/>
    <d v="2024-05-14T00:00:00"/>
    <d v="2025-05-14T00:00:00"/>
    <m/>
    <n v="3999"/>
    <d v="2024-05-01T00:00:00"/>
    <n v="31"/>
    <s v="High"/>
    <n v="14"/>
    <s v="High"/>
    <s v="High"/>
    <x v="0"/>
  </r>
  <r>
    <x v="129"/>
    <s v="Monthly"/>
    <d v="2024-05-15T00:00:00"/>
    <d v="2024-06-15T00:00:00"/>
    <m/>
    <n v="499"/>
    <d v="2024-05-01T00:00:00"/>
    <n v="40"/>
    <s v="High"/>
    <n v="15"/>
    <s v="High"/>
    <s v="High"/>
    <x v="0"/>
  </r>
  <r>
    <x v="130"/>
    <s v="Monthly"/>
    <d v="2024-05-16T00:00:00"/>
    <d v="2024-06-16T00:00:00"/>
    <d v="2024-06-02T00:00:00"/>
    <n v="499"/>
    <d v="2024-05-01T00:00:00"/>
    <n v="5"/>
    <s v="High"/>
    <n v="7"/>
    <s v="High"/>
    <s v="High"/>
    <x v="0"/>
  </r>
  <r>
    <x v="131"/>
    <s v="Annual"/>
    <d v="2024-05-17T00:00:00"/>
    <d v="2025-05-17T00:00:00"/>
    <m/>
    <n v="3999"/>
    <d v="2024-05-01T00:00:00"/>
    <n v="4"/>
    <s v="Medium"/>
    <n v="8"/>
    <s v="High"/>
    <s v="High"/>
    <x v="0"/>
  </r>
  <r>
    <x v="132"/>
    <s v="Monthly"/>
    <d v="2024-05-18T00:00:00"/>
    <d v="2024-06-18T00:00:00"/>
    <m/>
    <n v="499"/>
    <d v="2024-05-01T00:00:00"/>
    <n v="34"/>
    <s v="High"/>
    <n v="12"/>
    <s v="High"/>
    <s v="High"/>
    <x v="0"/>
  </r>
  <r>
    <x v="133"/>
    <s v="Monthly"/>
    <d v="2024-05-19T00:00:00"/>
    <d v="2024-06-19T00:00:00"/>
    <d v="2024-06-05T00:00:00"/>
    <n v="499"/>
    <d v="2024-05-01T00:00:00"/>
    <n v="34"/>
    <s v="High"/>
    <n v="14"/>
    <s v="High"/>
    <s v="High"/>
    <x v="0"/>
  </r>
  <r>
    <x v="134"/>
    <s v="Annual"/>
    <d v="2024-05-20T00:00:00"/>
    <d v="2025-05-20T00:00:00"/>
    <m/>
    <n v="3999"/>
    <d v="2024-05-01T00:00:00"/>
    <n v="38"/>
    <s v="High"/>
    <n v="16"/>
    <s v="High"/>
    <s v="High"/>
    <x v="0"/>
  </r>
  <r>
    <x v="135"/>
    <s v="Monthly"/>
    <d v="2024-05-21T00:00:00"/>
    <d v="2024-06-21T00:00:00"/>
    <m/>
    <n v="499"/>
    <d v="2024-05-01T00:00:00"/>
    <n v="4"/>
    <s v="Medium"/>
    <n v="5"/>
    <s v="High"/>
    <s v="High"/>
    <x v="0"/>
  </r>
  <r>
    <x v="136"/>
    <s v="Monthly"/>
    <d v="2024-05-22T00:00:00"/>
    <d v="2024-06-22T00:00:00"/>
    <d v="2024-06-08T00:00:00"/>
    <n v="499"/>
    <d v="2024-05-01T00:00:00"/>
    <n v="1"/>
    <s v="Low"/>
    <n v="4"/>
    <s v="High"/>
    <s v="High"/>
    <x v="0"/>
  </r>
  <r>
    <x v="137"/>
    <s v="Annual"/>
    <d v="2024-05-23T00:00:00"/>
    <d v="2025-05-23T00:00:00"/>
    <m/>
    <n v="3999"/>
    <d v="2024-05-01T00:00:00"/>
    <n v="31"/>
    <s v="High"/>
    <n v="13"/>
    <s v="High"/>
    <s v="High"/>
    <x v="0"/>
  </r>
  <r>
    <x v="138"/>
    <s v="Monthly"/>
    <d v="2024-05-24T00:00:00"/>
    <d v="2024-06-24T00:00:00"/>
    <m/>
    <n v="499"/>
    <d v="2024-05-01T00:00:00"/>
    <n v="32"/>
    <s v="High"/>
    <n v="15"/>
    <s v="High"/>
    <s v="High"/>
    <x v="0"/>
  </r>
  <r>
    <x v="139"/>
    <s v="Monthly"/>
    <d v="2024-05-25T00:00:00"/>
    <d v="2024-06-25T00:00:00"/>
    <d v="2024-06-10T00:00:00"/>
    <n v="499"/>
    <d v="2024-05-01T00:00:00"/>
    <n v="39"/>
    <s v="High"/>
    <n v="16"/>
    <s v="High"/>
    <s v="High"/>
    <x v="0"/>
  </r>
  <r>
    <x v="140"/>
    <s v="Annual"/>
    <d v="2024-05-26T00:00:00"/>
    <d v="2025-05-26T00:00:00"/>
    <m/>
    <n v="3999"/>
    <d v="2024-05-01T00:00:00"/>
    <n v="3"/>
    <s v="Medium"/>
    <n v="4"/>
    <s v="High"/>
    <s v="High"/>
    <x v="0"/>
  </r>
  <r>
    <x v="141"/>
    <s v="Monthly"/>
    <d v="2024-05-27T00:00:00"/>
    <d v="2024-06-27T00:00:00"/>
    <m/>
    <n v="499"/>
    <d v="2024-05-01T00:00:00"/>
    <n v="4"/>
    <s v="Medium"/>
    <n v="3"/>
    <s v="High"/>
    <s v="High"/>
    <x v="0"/>
  </r>
  <r>
    <x v="142"/>
    <s v="Monthly"/>
    <d v="2024-05-28T00:00:00"/>
    <d v="2024-06-28T00:00:00"/>
    <d v="2024-06-12T00:00:00"/>
    <n v="499"/>
    <d v="2024-05-01T00:00:00"/>
    <n v="35"/>
    <s v="High"/>
    <n v="13"/>
    <s v="High"/>
    <s v="High"/>
    <x v="0"/>
  </r>
  <r>
    <x v="143"/>
    <s v="Annual"/>
    <d v="2024-05-29T00:00:00"/>
    <d v="2025-05-29T00:00:00"/>
    <m/>
    <n v="3999"/>
    <d v="2024-05-01T00:00:00"/>
    <n v="32"/>
    <s v="High"/>
    <n v="14"/>
    <s v="High"/>
    <s v="High"/>
    <x v="0"/>
  </r>
  <r>
    <x v="144"/>
    <s v="Monthly"/>
    <d v="2024-05-30T00:00:00"/>
    <d v="2024-06-30T00:00:00"/>
    <m/>
    <n v="499"/>
    <d v="2024-05-01T00:00:00"/>
    <n v="42"/>
    <s v="High"/>
    <n v="17"/>
    <s v="High"/>
    <s v="High"/>
    <x v="0"/>
  </r>
  <r>
    <x v="145"/>
    <s v="Monthly"/>
    <d v="2024-05-31T00:00:00"/>
    <d v="2024-07-01T00:00:00"/>
    <d v="2024-06-15T00:00:00"/>
    <n v="499"/>
    <d v="2024-05-01T00:00:00"/>
    <n v="4"/>
    <s v="Medium"/>
    <n v="3"/>
    <s v="High"/>
    <s v="High"/>
    <x v="0"/>
  </r>
  <r>
    <x v="146"/>
    <s v="Annual"/>
    <d v="2024-06-01T00:00:00"/>
    <d v="2025-06-01T00:00:00"/>
    <m/>
    <n v="3999"/>
    <d v="2024-06-01T00:00:00"/>
    <n v="7"/>
    <s v="High"/>
    <n v="4"/>
    <s v="High"/>
    <s v="High"/>
    <x v="0"/>
  </r>
  <r>
    <x v="147"/>
    <s v="Monthly"/>
    <d v="2024-06-02T00:00:00"/>
    <d v="2024-07-02T00:00:00"/>
    <m/>
    <n v="499"/>
    <d v="2024-06-01T00:00:00"/>
    <n v="36"/>
    <s v="High"/>
    <n v="15"/>
    <s v="High"/>
    <s v="High"/>
    <x v="0"/>
  </r>
  <r>
    <x v="148"/>
    <s v="Monthly"/>
    <d v="2024-06-03T00:00:00"/>
    <d v="2024-07-03T00:00:00"/>
    <d v="2024-06-18T00:00:00"/>
    <n v="499"/>
    <d v="2024-06-01T00:00:00"/>
    <n v="36"/>
    <s v="High"/>
    <n v="16"/>
    <s v="High"/>
    <s v="High"/>
    <x v="0"/>
  </r>
  <r>
    <x v="149"/>
    <s v="Annual"/>
    <d v="2024-06-04T00:00:00"/>
    <d v="2025-06-04T00:00:00"/>
    <m/>
    <n v="3999"/>
    <d v="2024-06-01T00:00:00"/>
    <n v="42"/>
    <s v="High"/>
    <n v="17"/>
    <s v="High"/>
    <s v="High"/>
    <x v="0"/>
  </r>
  <r>
    <x v="150"/>
    <s v="Monthly"/>
    <d v="2024-06-05T00:00:00"/>
    <d v="2024-07-05T00:00:00"/>
    <m/>
    <n v="499"/>
    <d v="2024-06-01T00:00:00"/>
    <n v="3"/>
    <s v="Medium"/>
    <n v="2"/>
    <s v="Medium"/>
    <s v="Medium"/>
    <x v="0"/>
  </r>
  <r>
    <x v="151"/>
    <s v="Monthly"/>
    <d v="2024-06-06T00:00:00"/>
    <d v="2024-07-06T00:00:00"/>
    <d v="2024-06-20T00:00:00"/>
    <n v="499"/>
    <d v="2024-06-01T00:00:00"/>
    <n v="4"/>
    <s v="Medium"/>
    <n v="3"/>
    <s v="High"/>
    <s v="High"/>
    <x v="0"/>
  </r>
  <r>
    <x v="152"/>
    <s v="Annual"/>
    <d v="2024-06-07T00:00:00"/>
    <d v="2025-06-07T00:00:00"/>
    <m/>
    <n v="3999"/>
    <d v="2024-06-01T00:00:00"/>
    <n v="32"/>
    <s v="High"/>
    <n v="14"/>
    <s v="High"/>
    <s v="High"/>
    <x v="0"/>
  </r>
  <r>
    <x v="153"/>
    <s v="Monthly"/>
    <d v="2024-06-08T00:00:00"/>
    <d v="2024-07-08T00:00:00"/>
    <m/>
    <n v="499"/>
    <d v="2024-06-01T00:00:00"/>
    <n v="34"/>
    <s v="High"/>
    <n v="14"/>
    <s v="High"/>
    <s v="High"/>
    <x v="0"/>
  </r>
  <r>
    <x v="154"/>
    <s v="Monthly"/>
    <d v="2024-06-09T00:00:00"/>
    <d v="2024-07-09T00:00:00"/>
    <d v="2024-06-22T00:00:00"/>
    <n v="499"/>
    <d v="2024-06-01T00:00:00"/>
    <n v="40"/>
    <s v="High"/>
    <n v="13"/>
    <s v="High"/>
    <s v="High"/>
    <x v="0"/>
  </r>
  <r>
    <x v="155"/>
    <s v="Annual"/>
    <d v="2024-06-10T00:00:00"/>
    <d v="2025-06-10T00:00:00"/>
    <m/>
    <n v="3999"/>
    <d v="2024-06-01T00:00:00"/>
    <n v="5"/>
    <s v="High"/>
    <n v="5"/>
    <s v="High"/>
    <s v="High"/>
    <x v="0"/>
  </r>
  <r>
    <x v="156"/>
    <s v="Monthly"/>
    <d v="2024-06-11T00:00:00"/>
    <d v="2024-07-11T00:00:00"/>
    <m/>
    <n v="499"/>
    <d v="2024-06-01T00:00:00"/>
    <n v="2"/>
    <s v="Medium"/>
    <n v="4"/>
    <s v="High"/>
    <s v="High"/>
    <x v="0"/>
  </r>
  <r>
    <x v="157"/>
    <s v="Monthly"/>
    <d v="2024-06-12T00:00:00"/>
    <d v="2024-07-12T00:00:00"/>
    <d v="2024-06-25T00:00:00"/>
    <n v="499"/>
    <d v="2024-06-01T00:00:00"/>
    <n v="30"/>
    <s v="High"/>
    <n v="16"/>
    <s v="High"/>
    <s v="High"/>
    <x v="0"/>
  </r>
  <r>
    <x v="158"/>
    <s v="Annual"/>
    <d v="2024-06-13T00:00:00"/>
    <d v="2025-06-13T00:00:00"/>
    <m/>
    <n v="3999"/>
    <d v="2024-06-01T00:00:00"/>
    <n v="31"/>
    <s v="High"/>
    <n v="12"/>
    <s v="High"/>
    <s v="High"/>
    <x v="0"/>
  </r>
  <r>
    <x v="159"/>
    <s v="Monthly"/>
    <d v="2024-06-14T00:00:00"/>
    <d v="2024-07-14T00:00:00"/>
    <m/>
    <n v="499"/>
    <d v="2024-06-01T00:00:00"/>
    <n v="39"/>
    <s v="High"/>
    <n v="17"/>
    <s v="High"/>
    <s v="High"/>
    <x v="0"/>
  </r>
  <r>
    <x v="160"/>
    <s v="Monthly"/>
    <d v="2024-06-15T00:00:00"/>
    <d v="2024-07-15T00:00:00"/>
    <d v="2024-06-28T00:00:00"/>
    <n v="499"/>
    <d v="2024-06-01T00:00:00"/>
    <n v="4"/>
    <s v="Medium"/>
    <n v="6"/>
    <s v="High"/>
    <s v="High"/>
    <x v="0"/>
  </r>
  <r>
    <x v="161"/>
    <s v="Annual"/>
    <d v="2024-06-16T00:00:00"/>
    <d v="2025-06-16T00:00:00"/>
    <m/>
    <n v="3999"/>
    <d v="2024-06-01T00:00:00"/>
    <n v="5"/>
    <s v="High"/>
    <n v="2"/>
    <s v="Medium"/>
    <s v="High"/>
    <x v="0"/>
  </r>
  <r>
    <x v="162"/>
    <s v="Monthly"/>
    <d v="2024-06-17T00:00:00"/>
    <d v="2024-07-17T00:00:00"/>
    <m/>
    <n v="499"/>
    <d v="2024-06-01T00:00:00"/>
    <n v="35"/>
    <s v="High"/>
    <n v="14"/>
    <s v="High"/>
    <s v="High"/>
    <x v="0"/>
  </r>
  <r>
    <x v="163"/>
    <s v="Monthly"/>
    <d v="2024-06-18T00:00:00"/>
    <d v="2024-07-18T00:00:00"/>
    <d v="2024-06-30T00:00:00"/>
    <n v="499"/>
    <d v="2024-06-01T00:00:00"/>
    <n v="32"/>
    <s v="High"/>
    <n v="12"/>
    <s v="High"/>
    <s v="High"/>
    <x v="0"/>
  </r>
  <r>
    <x v="164"/>
    <s v="Annual"/>
    <d v="2024-06-19T00:00:00"/>
    <d v="2025-06-19T00:00:00"/>
    <m/>
    <n v="3999"/>
    <d v="2024-06-01T00:00:00"/>
    <n v="39"/>
    <s v="High"/>
    <n v="15"/>
    <s v="High"/>
    <s v="High"/>
    <x v="0"/>
  </r>
  <r>
    <x v="165"/>
    <s v="Monthly"/>
    <d v="2024-06-20T00:00:00"/>
    <d v="2024-07-20T00:00:00"/>
    <m/>
    <n v="499"/>
    <d v="2024-06-01T00:00:00"/>
    <n v="5"/>
    <s v="High"/>
    <n v="10"/>
    <s v="High"/>
    <s v="High"/>
    <x v="0"/>
  </r>
  <r>
    <x v="166"/>
    <s v="Monthly"/>
    <d v="2024-06-21T00:00:00"/>
    <d v="2024-07-21T00:00:00"/>
    <d v="2024-07-02T00:00:00"/>
    <n v="499"/>
    <d v="2024-06-01T00:00:00"/>
    <n v="7"/>
    <s v="High"/>
    <n v="9"/>
    <s v="High"/>
    <s v="High"/>
    <x v="0"/>
  </r>
  <r>
    <x v="167"/>
    <s v="Annual"/>
    <d v="2024-06-22T00:00:00"/>
    <d v="2025-06-22T00:00:00"/>
    <m/>
    <n v="3999"/>
    <d v="2024-06-01T00:00:00"/>
    <n v="32"/>
    <s v="High"/>
    <n v="11"/>
    <s v="High"/>
    <s v="High"/>
    <x v="0"/>
  </r>
  <r>
    <x v="168"/>
    <s v="Monthly"/>
    <d v="2024-06-23T00:00:00"/>
    <d v="2024-07-23T00:00:00"/>
    <m/>
    <n v="499"/>
    <d v="2024-06-01T00:00:00"/>
    <n v="30"/>
    <s v="High"/>
    <n v="8"/>
    <s v="High"/>
    <s v="High"/>
    <x v="0"/>
  </r>
  <r>
    <x v="169"/>
    <s v="Monthly"/>
    <d v="2024-06-24T00:00:00"/>
    <d v="2024-07-24T00:00:00"/>
    <d v="2024-07-04T00:00:00"/>
    <n v="499"/>
    <d v="2024-06-01T00:00:00"/>
    <n v="41"/>
    <s v="High"/>
    <n v="14"/>
    <s v="High"/>
    <s v="High"/>
    <x v="0"/>
  </r>
  <r>
    <x v="170"/>
    <s v="Annual"/>
    <d v="2024-06-25T00:00:00"/>
    <d v="2025-06-25T00:00:00"/>
    <m/>
    <n v="3999"/>
    <d v="2024-06-01T00:00:00"/>
    <n v="3"/>
    <s v="Medium"/>
    <n v="6"/>
    <s v="High"/>
    <s v="High"/>
    <x v="0"/>
  </r>
  <r>
    <x v="171"/>
    <s v="Monthly"/>
    <d v="2024-06-26T00:00:00"/>
    <d v="2024-07-26T00:00:00"/>
    <m/>
    <n v="499"/>
    <d v="2024-06-01T00:00:00"/>
    <n v="5"/>
    <s v="High"/>
    <n v="7"/>
    <s v="High"/>
    <s v="High"/>
    <x v="0"/>
  </r>
  <r>
    <x v="172"/>
    <s v="Monthly"/>
    <d v="2024-06-27T00:00:00"/>
    <d v="2024-07-27T00:00:00"/>
    <d v="2024-07-06T00:00:00"/>
    <n v="499"/>
    <d v="2024-06-01T00:00:00"/>
    <n v="28"/>
    <s v="High"/>
    <n v="15"/>
    <s v="High"/>
    <s v="High"/>
    <x v="0"/>
  </r>
  <r>
    <x v="173"/>
    <s v="Annual"/>
    <d v="2024-06-28T00:00:00"/>
    <d v="2025-06-28T00:00:00"/>
    <m/>
    <n v="3999"/>
    <d v="2024-06-01T00:00:00"/>
    <n v="34"/>
    <s v="High"/>
    <n v="9"/>
    <s v="High"/>
    <s v="High"/>
    <x v="0"/>
  </r>
  <r>
    <x v="174"/>
    <s v="Monthly"/>
    <d v="2024-06-29T00:00:00"/>
    <d v="2024-07-29T00:00:00"/>
    <m/>
    <n v="499"/>
    <d v="2024-06-01T00:00:00"/>
    <n v="33"/>
    <s v="High"/>
    <n v="12"/>
    <s v="High"/>
    <s v="High"/>
    <x v="0"/>
  </r>
  <r>
    <x v="175"/>
    <s v="Monthly"/>
    <d v="2024-06-30T00:00:00"/>
    <d v="2024-07-30T00:00:00"/>
    <d v="2024-07-08T00:00:00"/>
    <n v="499"/>
    <d v="2024-06-01T00:00:00"/>
    <n v="4"/>
    <s v="Medium"/>
    <n v="13"/>
    <s v="High"/>
    <s v="High"/>
    <x v="0"/>
  </r>
  <r>
    <x v="176"/>
    <s v="Annual"/>
    <d v="2024-07-01T00:00:00"/>
    <d v="2025-07-01T00:00:00"/>
    <m/>
    <n v="3999"/>
    <d v="2024-07-01T00:00:00"/>
    <n v="6"/>
    <s v="High"/>
    <n v="11"/>
    <s v="High"/>
    <s v="High"/>
    <x v="0"/>
  </r>
  <r>
    <x v="177"/>
    <s v="Monthly"/>
    <d v="2024-07-02T00:00:00"/>
    <d v="2024-08-02T00:00:00"/>
    <m/>
    <n v="499"/>
    <d v="2024-07-01T00:00:00"/>
    <n v="34"/>
    <s v="High"/>
    <n v="10"/>
    <s v="High"/>
    <s v="High"/>
    <x v="0"/>
  </r>
  <r>
    <x v="178"/>
    <s v="Monthly"/>
    <d v="2024-07-03T00:00:00"/>
    <d v="2024-08-03T00:00:00"/>
    <d v="2024-07-10T00:00:00"/>
    <n v="499"/>
    <d v="2024-07-01T00:00:00"/>
    <n v="34"/>
    <s v="High"/>
    <n v="14"/>
    <s v="High"/>
    <s v="High"/>
    <x v="0"/>
  </r>
  <r>
    <x v="179"/>
    <s v="Annual"/>
    <d v="2024-07-04T00:00:00"/>
    <d v="2025-07-04T00:00:00"/>
    <m/>
    <n v="3999"/>
    <d v="2024-07-01T00:00:00"/>
    <n v="39"/>
    <s v="High"/>
    <n v="16"/>
    <s v="High"/>
    <s v="High"/>
    <x v="0"/>
  </r>
  <r>
    <x v="180"/>
    <s v="Monthly"/>
    <d v="2024-07-05T00:00:00"/>
    <d v="2024-08-05T00:00:00"/>
    <m/>
    <n v="499"/>
    <d v="2024-07-01T00:00:00"/>
    <n v="1"/>
    <s v="Low"/>
    <n v="8"/>
    <s v="High"/>
    <s v="High"/>
    <x v="0"/>
  </r>
  <r>
    <x v="181"/>
    <s v="Monthly"/>
    <d v="2024-07-06T00:00:00"/>
    <d v="2024-08-06T00:00:00"/>
    <d v="2024-07-12T00:00:00"/>
    <n v="499"/>
    <d v="2024-07-01T00:00:00"/>
    <n v="3"/>
    <s v="Medium"/>
    <n v="9"/>
    <s v="High"/>
    <s v="High"/>
    <x v="0"/>
  </r>
  <r>
    <x v="182"/>
    <s v="Annual"/>
    <d v="2024-07-07T00:00:00"/>
    <d v="2025-07-07T00:00:00"/>
    <m/>
    <n v="3999"/>
    <d v="2024-07-01T00:00:00"/>
    <n v="30"/>
    <s v="High"/>
    <n v="12"/>
    <s v="High"/>
    <s v="High"/>
    <x v="0"/>
  </r>
  <r>
    <x v="183"/>
    <s v="Monthly"/>
    <d v="2024-07-08T00:00:00"/>
    <d v="2024-08-08T00:00:00"/>
    <m/>
    <n v="499"/>
    <d v="2024-07-01T00:00:00"/>
    <n v="35"/>
    <s v="High"/>
    <n v="15"/>
    <s v="High"/>
    <s v="High"/>
    <x v="0"/>
  </r>
  <r>
    <x v="184"/>
    <s v="Monthly"/>
    <d v="2024-07-09T00:00:00"/>
    <d v="2024-08-09T00:00:00"/>
    <d v="2024-07-14T00:00:00"/>
    <n v="499"/>
    <d v="2024-07-01T00:00:00"/>
    <n v="37"/>
    <s v="High"/>
    <n v="16"/>
    <s v="High"/>
    <s v="High"/>
    <x v="0"/>
  </r>
  <r>
    <x v="185"/>
    <s v="Annual"/>
    <d v="2024-07-10T00:00:00"/>
    <d v="2025-07-10T00:00:00"/>
    <m/>
    <n v="3999"/>
    <d v="2024-07-01T00:00:00"/>
    <n v="4"/>
    <s v="Medium"/>
    <n v="4"/>
    <s v="High"/>
    <s v="High"/>
    <x v="0"/>
  </r>
  <r>
    <x v="186"/>
    <s v="Monthly"/>
    <d v="2024-07-11T00:00:00"/>
    <d v="2024-08-11T00:00:00"/>
    <m/>
    <n v="499"/>
    <d v="2024-07-01T00:00:00"/>
    <n v="3"/>
    <s v="Medium"/>
    <n v="5"/>
    <s v="High"/>
    <s v="High"/>
    <x v="0"/>
  </r>
  <r>
    <x v="187"/>
    <s v="Monthly"/>
    <d v="2024-07-12T00:00:00"/>
    <d v="2024-08-12T00:00:00"/>
    <d v="2024-07-16T00:00:00"/>
    <n v="499"/>
    <d v="2024-07-01T00:00:00"/>
    <n v="32"/>
    <s v="High"/>
    <n v="15"/>
    <s v="High"/>
    <s v="High"/>
    <x v="0"/>
  </r>
  <r>
    <x v="188"/>
    <s v="Annual"/>
    <d v="2024-07-13T00:00:00"/>
    <d v="2025-07-13T00:00:00"/>
    <m/>
    <n v="3999"/>
    <d v="2024-07-01T00:00:00"/>
    <n v="34"/>
    <s v="High"/>
    <n v="14"/>
    <s v="High"/>
    <s v="High"/>
    <x v="0"/>
  </r>
  <r>
    <x v="189"/>
    <s v="Monthly"/>
    <d v="2024-07-14T00:00:00"/>
    <d v="2024-08-14T00:00:00"/>
    <m/>
    <n v="499"/>
    <d v="2024-07-01T00:00:00"/>
    <n v="39"/>
    <s v="High"/>
    <n v="16"/>
    <s v="High"/>
    <s v="High"/>
    <x v="0"/>
  </r>
  <r>
    <x v="190"/>
    <s v="Monthly"/>
    <d v="2024-07-15T00:00:00"/>
    <d v="2024-08-15T00:00:00"/>
    <d v="2024-07-18T00:00:00"/>
    <n v="499"/>
    <d v="2024-07-01T00:00:00"/>
    <n v="4"/>
    <s v="Medium"/>
    <n v="4"/>
    <s v="High"/>
    <s v="High"/>
    <x v="0"/>
  </r>
  <r>
    <x v="191"/>
    <s v="Annual"/>
    <d v="2024-07-16T00:00:00"/>
    <d v="2025-07-16T00:00:00"/>
    <m/>
    <n v="3999"/>
    <d v="2024-07-01T00:00:00"/>
    <n v="4"/>
    <s v="Medium"/>
    <n v="3"/>
    <s v="High"/>
    <s v="High"/>
    <x v="0"/>
  </r>
  <r>
    <x v="192"/>
    <s v="Monthly"/>
    <d v="2024-07-17T00:00:00"/>
    <d v="2024-08-17T00:00:00"/>
    <m/>
    <n v="499"/>
    <d v="2024-07-01T00:00:00"/>
    <n v="33"/>
    <s v="High"/>
    <n v="16"/>
    <s v="High"/>
    <s v="High"/>
    <x v="0"/>
  </r>
  <r>
    <x v="193"/>
    <s v="Monthly"/>
    <d v="2024-07-18T00:00:00"/>
    <d v="2024-08-18T00:00:00"/>
    <d v="2024-07-20T00:00:00"/>
    <n v="499"/>
    <d v="2024-07-01T00:00:00"/>
    <n v="30"/>
    <s v="High"/>
    <n v="16"/>
    <s v="High"/>
    <s v="High"/>
    <x v="0"/>
  </r>
  <r>
    <x v="194"/>
    <s v="Annual"/>
    <d v="2024-07-19T00:00:00"/>
    <d v="2025-07-19T00:00:00"/>
    <m/>
    <n v="3999"/>
    <d v="2024-07-01T00:00:00"/>
    <n v="36"/>
    <s v="High"/>
    <n v="16"/>
    <s v="High"/>
    <s v="High"/>
    <x v="0"/>
  </r>
  <r>
    <x v="195"/>
    <s v="Monthly"/>
    <d v="2024-07-20T00:00:00"/>
    <d v="2024-08-20T00:00:00"/>
    <m/>
    <n v="499"/>
    <d v="2024-07-01T00:00:00"/>
    <n v="5"/>
    <s v="High"/>
    <n v="0"/>
    <s v="Low"/>
    <s v="High"/>
    <x v="0"/>
  </r>
  <r>
    <x v="196"/>
    <s v="Monthly"/>
    <d v="2024-07-21T00:00:00"/>
    <d v="2024-08-21T00:00:00"/>
    <d v="2024-07-22T00:00:00"/>
    <n v="499"/>
    <d v="2024-07-01T00:00:00"/>
    <n v="4"/>
    <s v="Medium"/>
    <n v="0"/>
    <s v="Low"/>
    <s v="Medium"/>
    <x v="0"/>
  </r>
  <r>
    <x v="197"/>
    <s v="Annual"/>
    <d v="2024-07-22T00:00:00"/>
    <d v="2025-07-22T00:00:00"/>
    <m/>
    <n v="3999"/>
    <d v="2024-07-01T00:00:00"/>
    <n v="29"/>
    <s v="High"/>
    <n v="0"/>
    <s v="Low"/>
    <s v="High"/>
    <x v="0"/>
  </r>
  <r>
    <x v="198"/>
    <s v="Monthly"/>
    <d v="2024-07-23T00:00:00"/>
    <d v="2024-08-23T00:00:00"/>
    <m/>
    <n v="499"/>
    <d v="2024-07-01T00:00:00"/>
    <n v="32"/>
    <s v="High"/>
    <n v="0"/>
    <s v="Low"/>
    <s v="High"/>
    <x v="0"/>
  </r>
  <r>
    <x v="199"/>
    <s v="Monthly"/>
    <d v="2024-07-24T00:00:00"/>
    <d v="2024-08-24T00:00:00"/>
    <d v="2024-07-25T00:00:00"/>
    <n v="499"/>
    <d v="2024-07-01T00:00:00"/>
    <n v="43"/>
    <s v="High"/>
    <n v="0"/>
    <s v="Low"/>
    <s v="High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U001"/>
    <x v="0"/>
    <n v="1497"/>
    <n v="499"/>
  </r>
  <r>
    <s v="U002"/>
    <x v="1"/>
    <n v="1996"/>
    <n v="499"/>
  </r>
  <r>
    <s v="U003"/>
    <x v="0"/>
    <n v="2495"/>
    <n v="499"/>
  </r>
  <r>
    <s v="U004"/>
    <x v="0"/>
    <n v="998"/>
    <n v="499"/>
  </r>
  <r>
    <s v="U005"/>
    <x v="0"/>
    <n v="1297"/>
    <n v="432.33"/>
  </r>
  <r>
    <s v="U006"/>
    <x v="0"/>
    <n v="1996"/>
    <n v="499"/>
  </r>
  <r>
    <s v="U007"/>
    <x v="0"/>
    <n v="2495"/>
    <n v="499"/>
  </r>
  <r>
    <s v="U008"/>
    <x v="0"/>
    <n v="998"/>
    <n v="499"/>
  </r>
  <r>
    <s v="U009"/>
    <x v="0"/>
    <n v="1497"/>
    <n v="499"/>
  </r>
  <r>
    <s v="U010"/>
    <x v="0"/>
    <n v="1796"/>
    <n v="449"/>
  </r>
  <r>
    <s v="U011"/>
    <x v="0"/>
    <n v="2495"/>
    <n v="499"/>
  </r>
  <r>
    <s v="U012"/>
    <x v="0"/>
    <n v="998"/>
    <n v="499"/>
  </r>
  <r>
    <s v="U013"/>
    <x v="0"/>
    <n v="1497"/>
    <n v="499"/>
  </r>
  <r>
    <s v="U014"/>
    <x v="1"/>
    <n v="1996"/>
    <n v="499"/>
  </r>
  <r>
    <s v="U015"/>
    <x v="0"/>
    <n v="2295"/>
    <n v="459"/>
  </r>
  <r>
    <s v="U016"/>
    <x v="0"/>
    <n v="998"/>
    <n v="499"/>
  </r>
  <r>
    <s v="U017"/>
    <x v="0"/>
    <n v="1497"/>
    <n v="499"/>
  </r>
  <r>
    <s v="U018"/>
    <x v="0"/>
    <n v="1996"/>
    <n v="499"/>
  </r>
  <r>
    <s v="U019"/>
    <x v="1"/>
    <n v="2495"/>
    <n v="499"/>
  </r>
  <r>
    <s v="U020"/>
    <x v="0"/>
    <n v="798"/>
    <n v="399"/>
  </r>
  <r>
    <s v="U021"/>
    <x v="0"/>
    <n v="1497"/>
    <n v="499"/>
  </r>
  <r>
    <s v="U022"/>
    <x v="0"/>
    <n v="1996"/>
    <n v="499"/>
  </r>
  <r>
    <s v="U023"/>
    <x v="0"/>
    <n v="2495"/>
    <n v="499"/>
  </r>
  <r>
    <s v="U024"/>
    <x v="0"/>
    <n v="998"/>
    <n v="499"/>
  </r>
  <r>
    <s v="U025"/>
    <x v="0"/>
    <n v="1297"/>
    <n v="432.33"/>
  </r>
  <r>
    <s v="U026"/>
    <x v="0"/>
    <n v="1996"/>
    <n v="499"/>
  </r>
  <r>
    <s v="U027"/>
    <x v="0"/>
    <n v="2495"/>
    <n v="499"/>
  </r>
  <r>
    <s v="U028"/>
    <x v="0"/>
    <n v="998"/>
    <n v="499"/>
  </r>
  <r>
    <s v="U029"/>
    <x v="0"/>
    <n v="1497"/>
    <n v="499"/>
  </r>
  <r>
    <s v="U030"/>
    <x v="0"/>
    <n v="1796"/>
    <n v="449"/>
  </r>
  <r>
    <s v="U031"/>
    <x v="0"/>
    <n v="2495"/>
    <n v="499"/>
  </r>
  <r>
    <s v="U032"/>
    <x v="0"/>
    <n v="998"/>
    <n v="499"/>
  </r>
  <r>
    <s v="U033"/>
    <x v="0"/>
    <n v="1497"/>
    <n v="499"/>
  </r>
  <r>
    <s v="U034"/>
    <x v="0"/>
    <n v="1996"/>
    <n v="499"/>
  </r>
  <r>
    <s v="U035"/>
    <x v="0"/>
    <n v="2295"/>
    <n v="459"/>
  </r>
  <r>
    <s v="U036"/>
    <x v="0"/>
    <n v="3999"/>
    <n v="333.25"/>
  </r>
  <r>
    <s v="U037"/>
    <x v="0"/>
    <n v="3999"/>
    <n v="333.25"/>
  </r>
  <r>
    <s v="U038"/>
    <x v="0"/>
    <n v="3999"/>
    <n v="333.25"/>
  </r>
  <r>
    <s v="U039"/>
    <x v="0"/>
    <n v="3999"/>
    <n v="333.25"/>
  </r>
  <r>
    <s v="U040"/>
    <x v="0"/>
    <n v="3999"/>
    <n v="333.25"/>
  </r>
  <r>
    <s v="U041"/>
    <x v="0"/>
    <n v="3999"/>
    <n v="333.25"/>
  </r>
  <r>
    <s v="U042"/>
    <x v="1"/>
    <n v="3999"/>
    <n v="333.25"/>
  </r>
  <r>
    <s v="U043"/>
    <x v="0"/>
    <n v="3999"/>
    <n v="333.25"/>
  </r>
  <r>
    <s v="U044"/>
    <x v="0"/>
    <n v="3999"/>
    <n v="333.25"/>
  </r>
  <r>
    <s v="U045"/>
    <x v="0"/>
    <n v="3999"/>
    <n v="333.25"/>
  </r>
  <r>
    <s v="U046"/>
    <x v="0"/>
    <n v="3999"/>
    <n v="333.25"/>
  </r>
  <r>
    <s v="U047"/>
    <x v="0"/>
    <n v="3999"/>
    <n v="333.25"/>
  </r>
  <r>
    <s v="U048"/>
    <x v="0"/>
    <n v="3999"/>
    <n v="333.25"/>
  </r>
  <r>
    <s v="U049"/>
    <x v="0"/>
    <n v="3999"/>
    <n v="333.25"/>
  </r>
  <r>
    <s v="U050"/>
    <x v="0"/>
    <n v="3999"/>
    <n v="333.25"/>
  </r>
  <r>
    <s v="U051"/>
    <x v="0"/>
    <n v="2495"/>
    <n v="499"/>
  </r>
  <r>
    <s v="U052"/>
    <x v="0"/>
    <n v="998"/>
    <n v="499"/>
  </r>
  <r>
    <s v="U053"/>
    <x v="0"/>
    <n v="1497"/>
    <n v="499"/>
  </r>
  <r>
    <s v="U054"/>
    <x v="0"/>
    <n v="1796"/>
    <n v="449"/>
  </r>
  <r>
    <s v="U055"/>
    <x v="0"/>
    <n v="2495"/>
    <n v="499"/>
  </r>
  <r>
    <s v="U056"/>
    <x v="0"/>
    <n v="998"/>
    <n v="499"/>
  </r>
  <r>
    <s v="U057"/>
    <x v="0"/>
    <n v="1497"/>
    <n v="499"/>
  </r>
  <r>
    <s v="U058"/>
    <x v="0"/>
    <n v="1996"/>
    <n v="499"/>
  </r>
  <r>
    <s v="U059"/>
    <x v="0"/>
    <n v="2495"/>
    <n v="499"/>
  </r>
  <r>
    <s v="U060"/>
    <x v="0"/>
    <n v="798"/>
    <n v="399"/>
  </r>
  <r>
    <s v="U061"/>
    <x v="0"/>
    <n v="1497"/>
    <n v="499"/>
  </r>
  <r>
    <s v="U062"/>
    <x v="0"/>
    <n v="1996"/>
    <n v="499"/>
  </r>
  <r>
    <s v="U063"/>
    <x v="0"/>
    <n v="2495"/>
    <n v="499"/>
  </r>
  <r>
    <s v="U064"/>
    <x v="0"/>
    <n v="998"/>
    <n v="499"/>
  </r>
  <r>
    <s v="U065"/>
    <x v="0"/>
    <n v="1497"/>
    <n v="499"/>
  </r>
  <r>
    <s v="U066"/>
    <x v="0"/>
    <n v="1796"/>
    <n v="449"/>
  </r>
  <r>
    <s v="U067"/>
    <x v="0"/>
    <n v="2495"/>
    <n v="499"/>
  </r>
  <r>
    <s v="U068"/>
    <x v="0"/>
    <n v="998"/>
    <n v="499"/>
  </r>
  <r>
    <s v="U069"/>
    <x v="0"/>
    <n v="1497"/>
    <n v="499"/>
  </r>
  <r>
    <s v="U070"/>
    <x v="0"/>
    <n v="1996"/>
    <n v="499"/>
  </r>
  <r>
    <s v="U071"/>
    <x v="0"/>
    <n v="2495"/>
    <n v="499"/>
  </r>
  <r>
    <s v="U072"/>
    <x v="0"/>
    <n v="798"/>
    <n v="399"/>
  </r>
  <r>
    <s v="U073"/>
    <x v="0"/>
    <n v="1497"/>
    <n v="499"/>
  </r>
  <r>
    <s v="U074"/>
    <x v="0"/>
    <n v="1996"/>
    <n v="499"/>
  </r>
  <r>
    <s v="U075"/>
    <x v="0"/>
    <n v="2495"/>
    <n v="499"/>
  </r>
  <r>
    <s v="U076"/>
    <x v="0"/>
    <n v="998"/>
    <n v="499"/>
  </r>
  <r>
    <s v="U077"/>
    <x v="0"/>
    <n v="1497"/>
    <n v="499"/>
  </r>
  <r>
    <s v="U078"/>
    <x v="0"/>
    <n v="1796"/>
    <n v="449"/>
  </r>
  <r>
    <s v="U079"/>
    <x v="0"/>
    <n v="2495"/>
    <n v="499"/>
  </r>
  <r>
    <s v="U080"/>
    <x v="0"/>
    <n v="998"/>
    <n v="499"/>
  </r>
  <r>
    <s v="U081"/>
    <x v="0"/>
    <n v="1497"/>
    <n v="499"/>
  </r>
  <r>
    <s v="U082"/>
    <x v="0"/>
    <n v="1996"/>
    <n v="499"/>
  </r>
  <r>
    <s v="U083"/>
    <x v="0"/>
    <n v="2495"/>
    <n v="499"/>
  </r>
  <r>
    <s v="U084"/>
    <x v="0"/>
    <n v="798"/>
    <n v="399"/>
  </r>
  <r>
    <s v="U085"/>
    <x v="0"/>
    <n v="1497"/>
    <n v="499"/>
  </r>
  <r>
    <s v="U086"/>
    <x v="0"/>
    <n v="3999"/>
    <n v="333.25"/>
  </r>
  <r>
    <s v="U087"/>
    <x v="0"/>
    <n v="3999"/>
    <n v="333.25"/>
  </r>
  <r>
    <s v="U088"/>
    <x v="0"/>
    <n v="3999"/>
    <n v="333.25"/>
  </r>
  <r>
    <s v="U089"/>
    <x v="0"/>
    <n v="3999"/>
    <n v="333.25"/>
  </r>
  <r>
    <s v="U090"/>
    <x v="0"/>
    <n v="3999"/>
    <n v="333.25"/>
  </r>
  <r>
    <s v="U091"/>
    <x v="0"/>
    <n v="3999"/>
    <n v="333.25"/>
  </r>
  <r>
    <s v="U092"/>
    <x v="0"/>
    <n v="3999"/>
    <n v="333.25"/>
  </r>
  <r>
    <s v="U093"/>
    <x v="0"/>
    <n v="3999"/>
    <n v="333.25"/>
  </r>
  <r>
    <s v="U094"/>
    <x v="0"/>
    <n v="3999"/>
    <n v="333.25"/>
  </r>
  <r>
    <s v="U095"/>
    <x v="0"/>
    <n v="3999"/>
    <n v="333.25"/>
  </r>
  <r>
    <s v="U096"/>
    <x v="0"/>
    <n v="3999"/>
    <n v="333.25"/>
  </r>
  <r>
    <s v="U097"/>
    <x v="0"/>
    <n v="3999"/>
    <n v="333.25"/>
  </r>
  <r>
    <s v="U098"/>
    <x v="0"/>
    <n v="3999"/>
    <n v="333.25"/>
  </r>
  <r>
    <s v="U099"/>
    <x v="0"/>
    <n v="3999"/>
    <n v="333.25"/>
  </r>
  <r>
    <s v="U100"/>
    <x v="0"/>
    <n v="3999"/>
    <n v="333.25"/>
  </r>
  <r>
    <s v="U101"/>
    <x v="0"/>
    <n v="1497"/>
    <n v="499"/>
  </r>
  <r>
    <s v="U102"/>
    <x v="0"/>
    <n v="1996"/>
    <n v="499"/>
  </r>
  <r>
    <s v="U103"/>
    <x v="0"/>
    <n v="2495"/>
    <n v="499"/>
  </r>
  <r>
    <s v="U104"/>
    <x v="0"/>
    <n v="2994"/>
    <n v="499"/>
  </r>
  <r>
    <s v="U105"/>
    <x v="0"/>
    <n v="798"/>
    <n v="399"/>
  </r>
  <r>
    <s v="U106"/>
    <x v="0"/>
    <n v="1497"/>
    <n v="499"/>
  </r>
  <r>
    <s v="U107"/>
    <x v="0"/>
    <n v="1996"/>
    <n v="499"/>
  </r>
  <r>
    <s v="U108"/>
    <x v="0"/>
    <n v="2495"/>
    <n v="499"/>
  </r>
  <r>
    <s v="U109"/>
    <x v="0"/>
    <n v="2994"/>
    <n v="499"/>
  </r>
  <r>
    <s v="U110"/>
    <x v="0"/>
    <n v="998"/>
    <n v="499"/>
  </r>
  <r>
    <s v="U111"/>
    <x v="0"/>
    <n v="1497"/>
    <n v="499"/>
  </r>
  <r>
    <s v="U112"/>
    <x v="0"/>
    <n v="1796"/>
    <n v="449"/>
  </r>
  <r>
    <s v="U113"/>
    <x v="0"/>
    <n v="2495"/>
    <n v="499"/>
  </r>
  <r>
    <s v="U114"/>
    <x v="0"/>
    <n v="2994"/>
    <n v="499"/>
  </r>
  <r>
    <s v="U115"/>
    <x v="0"/>
    <n v="998"/>
    <n v="499"/>
  </r>
  <r>
    <s v="U116"/>
    <x v="0"/>
    <n v="1497"/>
    <n v="499"/>
  </r>
  <r>
    <s v="U117"/>
    <x v="0"/>
    <n v="1996"/>
    <n v="499"/>
  </r>
  <r>
    <s v="U118"/>
    <x v="0"/>
    <n v="2495"/>
    <n v="499"/>
  </r>
  <r>
    <s v="U119"/>
    <x v="0"/>
    <n v="2794"/>
    <n v="465.67"/>
  </r>
  <r>
    <s v="U120"/>
    <x v="0"/>
    <n v="998"/>
    <n v="499"/>
  </r>
  <r>
    <s v="U121"/>
    <x v="0"/>
    <n v="1497"/>
    <n v="499"/>
  </r>
  <r>
    <s v="U122"/>
    <x v="0"/>
    <n v="1996"/>
    <n v="499"/>
  </r>
  <r>
    <s v="U123"/>
    <x v="0"/>
    <n v="2495"/>
    <n v="499"/>
  </r>
  <r>
    <s v="U124"/>
    <x v="0"/>
    <n v="2994"/>
    <n v="499"/>
  </r>
  <r>
    <s v="U125"/>
    <x v="0"/>
    <n v="998"/>
    <n v="499"/>
  </r>
  <r>
    <s v="U126"/>
    <x v="0"/>
    <n v="1297"/>
    <n v="432.33"/>
  </r>
  <r>
    <s v="U127"/>
    <x v="0"/>
    <n v="1996"/>
    <n v="499"/>
  </r>
  <r>
    <s v="U128"/>
    <x v="0"/>
    <n v="2495"/>
    <n v="499"/>
  </r>
  <r>
    <s v="U129"/>
    <x v="0"/>
    <n v="2994"/>
    <n v="499"/>
  </r>
  <r>
    <s v="U130"/>
    <x v="0"/>
    <n v="998"/>
    <n v="499"/>
  </r>
  <r>
    <s v="U131"/>
    <x v="0"/>
    <n v="1497"/>
    <n v="499"/>
  </r>
  <r>
    <s v="U132"/>
    <x v="0"/>
    <n v="1996"/>
    <n v="499"/>
  </r>
  <r>
    <s v="U133"/>
    <x v="0"/>
    <n v="2295"/>
    <n v="459"/>
  </r>
  <r>
    <s v="U134"/>
    <x v="0"/>
    <n v="2994"/>
    <n v="499"/>
  </r>
  <r>
    <s v="U135"/>
    <x v="0"/>
    <n v="998"/>
    <n v="499"/>
  </r>
  <r>
    <s v="U136"/>
    <x v="0"/>
    <n v="1497"/>
    <n v="499"/>
  </r>
  <r>
    <s v="U137"/>
    <x v="0"/>
    <n v="1996"/>
    <n v="499"/>
  </r>
  <r>
    <s v="U138"/>
    <x v="0"/>
    <n v="2495"/>
    <n v="499"/>
  </r>
  <r>
    <s v="U139"/>
    <x v="0"/>
    <n v="2994"/>
    <n v="499"/>
  </r>
  <r>
    <s v="U140"/>
    <x v="0"/>
    <n v="798"/>
    <n v="399"/>
  </r>
  <r>
    <s v="U141"/>
    <x v="0"/>
    <n v="1497"/>
    <n v="499"/>
  </r>
  <r>
    <s v="U142"/>
    <x v="0"/>
    <n v="1996"/>
    <n v="499"/>
  </r>
  <r>
    <s v="U143"/>
    <x v="0"/>
    <n v="2495"/>
    <n v="499"/>
  </r>
  <r>
    <s v="U144"/>
    <x v="0"/>
    <n v="2994"/>
    <n v="499"/>
  </r>
  <r>
    <s v="U145"/>
    <x v="0"/>
    <n v="998"/>
    <n v="499"/>
  </r>
  <r>
    <s v="U146"/>
    <x v="0"/>
    <n v="1497"/>
    <n v="499"/>
  </r>
  <r>
    <s v="U147"/>
    <x v="0"/>
    <n v="1796"/>
    <n v="449"/>
  </r>
  <r>
    <s v="U148"/>
    <x v="0"/>
    <n v="2495"/>
    <n v="499"/>
  </r>
  <r>
    <s v="U149"/>
    <x v="0"/>
    <n v="2994"/>
    <n v="499"/>
  </r>
  <r>
    <s v="U150"/>
    <x v="0"/>
    <n v="998"/>
    <n v="499"/>
  </r>
  <r>
    <s v="U151"/>
    <x v="0"/>
    <n v="1497"/>
    <n v="499"/>
  </r>
  <r>
    <s v="U152"/>
    <x v="0"/>
    <n v="1996"/>
    <n v="499"/>
  </r>
  <r>
    <s v="U153"/>
    <x v="0"/>
    <n v="2495"/>
    <n v="499"/>
  </r>
  <r>
    <s v="U154"/>
    <x v="0"/>
    <n v="2794"/>
    <n v="465.67"/>
  </r>
  <r>
    <s v="U155"/>
    <x v="0"/>
    <n v="998"/>
    <n v="499"/>
  </r>
  <r>
    <s v="U156"/>
    <x v="0"/>
    <n v="1497"/>
    <n v="499"/>
  </r>
  <r>
    <s v="U157"/>
    <x v="0"/>
    <n v="1996"/>
    <n v="499"/>
  </r>
  <r>
    <s v="U158"/>
    <x v="0"/>
    <n v="2495"/>
    <n v="499"/>
  </r>
  <r>
    <s v="U159"/>
    <x v="0"/>
    <n v="2994"/>
    <n v="499"/>
  </r>
  <r>
    <s v="U160"/>
    <x v="0"/>
    <n v="998"/>
    <n v="499"/>
  </r>
  <r>
    <s v="U161"/>
    <x v="0"/>
    <n v="1297"/>
    <n v="432.33"/>
  </r>
  <r>
    <s v="U162"/>
    <x v="0"/>
    <n v="1996"/>
    <n v="499"/>
  </r>
  <r>
    <s v="U163"/>
    <x v="0"/>
    <n v="2495"/>
    <n v="499"/>
  </r>
  <r>
    <s v="U164"/>
    <x v="0"/>
    <n v="2994"/>
    <n v="499"/>
  </r>
  <r>
    <s v="U165"/>
    <x v="0"/>
    <n v="998"/>
    <n v="499"/>
  </r>
  <r>
    <s v="U166"/>
    <x v="0"/>
    <n v="1497"/>
    <n v="499"/>
  </r>
  <r>
    <s v="U167"/>
    <x v="0"/>
    <n v="1996"/>
    <n v="499"/>
  </r>
  <r>
    <s v="U168"/>
    <x v="0"/>
    <n v="2295"/>
    <n v="459"/>
  </r>
  <r>
    <s v="U169"/>
    <x v="0"/>
    <n v="2994"/>
    <n v="499"/>
  </r>
  <r>
    <s v="U170"/>
    <x v="0"/>
    <n v="998"/>
    <n v="499"/>
  </r>
  <r>
    <s v="U171"/>
    <x v="0"/>
    <n v="3999"/>
    <n v="333.25"/>
  </r>
  <r>
    <s v="U172"/>
    <x v="0"/>
    <n v="3999"/>
    <n v="333.25"/>
  </r>
  <r>
    <s v="U173"/>
    <x v="0"/>
    <n v="3999"/>
    <n v="333.25"/>
  </r>
  <r>
    <s v="U174"/>
    <x v="0"/>
    <n v="3999"/>
    <n v="333.25"/>
  </r>
  <r>
    <s v="U175"/>
    <x v="0"/>
    <n v="3999"/>
    <n v="333.25"/>
  </r>
  <r>
    <s v="U176"/>
    <x v="0"/>
    <n v="3999"/>
    <n v="333.25"/>
  </r>
  <r>
    <s v="U177"/>
    <x v="0"/>
    <n v="3999"/>
    <n v="333.25"/>
  </r>
  <r>
    <s v="U178"/>
    <x v="0"/>
    <n v="3999"/>
    <n v="333.25"/>
  </r>
  <r>
    <s v="U179"/>
    <x v="0"/>
    <n v="3999"/>
    <n v="333.25"/>
  </r>
  <r>
    <s v="U180"/>
    <x v="0"/>
    <n v="3999"/>
    <n v="333.25"/>
  </r>
  <r>
    <s v="U181"/>
    <x v="0"/>
    <n v="3999"/>
    <n v="333.25"/>
  </r>
  <r>
    <s v="U182"/>
    <x v="0"/>
    <n v="3999"/>
    <n v="333.25"/>
  </r>
  <r>
    <s v="U183"/>
    <x v="0"/>
    <n v="3999"/>
    <n v="333.25"/>
  </r>
  <r>
    <s v="U184"/>
    <x v="0"/>
    <n v="3999"/>
    <n v="333.25"/>
  </r>
  <r>
    <s v="U185"/>
    <x v="0"/>
    <n v="3999"/>
    <n v="333.25"/>
  </r>
  <r>
    <s v="U186"/>
    <x v="0"/>
    <n v="3999"/>
    <n v="333.25"/>
  </r>
  <r>
    <s v="U187"/>
    <x v="0"/>
    <n v="3999"/>
    <n v="333.25"/>
  </r>
  <r>
    <s v="U188"/>
    <x v="0"/>
    <n v="3999"/>
    <n v="333.25"/>
  </r>
  <r>
    <s v="U189"/>
    <x v="0"/>
    <n v="3999"/>
    <n v="333.25"/>
  </r>
  <r>
    <s v="U190"/>
    <x v="0"/>
    <n v="3999"/>
    <n v="333.25"/>
  </r>
  <r>
    <s v="U191"/>
    <x v="0"/>
    <n v="3999"/>
    <n v="333.25"/>
  </r>
  <r>
    <s v="U192"/>
    <x v="0"/>
    <n v="3999"/>
    <n v="333.25"/>
  </r>
  <r>
    <s v="U193"/>
    <x v="0"/>
    <n v="3999"/>
    <n v="333.25"/>
  </r>
  <r>
    <s v="U194"/>
    <x v="0"/>
    <n v="3999"/>
    <n v="333.25"/>
  </r>
  <r>
    <s v="U195"/>
    <x v="0"/>
    <n v="3999"/>
    <n v="333.25"/>
  </r>
  <r>
    <s v="U196"/>
    <x v="0"/>
    <n v="3999"/>
    <n v="333.25"/>
  </r>
  <r>
    <s v="U197"/>
    <x v="0"/>
    <n v="3999"/>
    <n v="333.25"/>
  </r>
  <r>
    <s v="U198"/>
    <x v="0"/>
    <n v="3999"/>
    <n v="333.25"/>
  </r>
  <r>
    <s v="U199"/>
    <x v="0"/>
    <n v="3999"/>
    <n v="333.25"/>
  </r>
  <r>
    <s v="U200"/>
    <x v="0"/>
    <n v="3999"/>
    <n v="333.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1DEB7F-4016-4F03-8887-DC926226C7FE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4"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avg_monthly_revenue" fld="3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DDF3BE-2941-460E-93B7-8B2FA350D27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13">
    <pivotField axis="axisRow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/>
    <pivotField numFmtId="14" showAll="0"/>
    <pivotField numFmtId="14" showAll="0"/>
    <pivotField showAll="0"/>
    <pivotField showAll="0"/>
    <pivotField numFmtId="17" showAll="0"/>
    <pivotField showAll="0"/>
    <pivotField showAll="0"/>
    <pivotField showAll="0"/>
    <pivotField showAll="0"/>
    <pivotField showAll="0"/>
    <pivotField axis="axisPage" dataField="1" showAll="0">
      <items count="3">
        <item x="0"/>
        <item x="1"/>
        <item t="default"/>
      </items>
    </pivotField>
  </pivotFields>
  <rowFields count="1">
    <field x="0"/>
  </rowFields>
  <rowItems count="5">
    <i>
      <x v="1"/>
    </i>
    <i>
      <x v="13"/>
    </i>
    <i>
      <x v="18"/>
    </i>
    <i>
      <x v="41"/>
    </i>
    <i t="grand">
      <x/>
    </i>
  </rowItems>
  <colItems count="1">
    <i/>
  </colItems>
  <pageFields count="1">
    <pageField fld="12" item="1" hier="-1"/>
  </pageFields>
  <dataFields count="1">
    <dataField name="Count of fatigued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2A322-FF3E-44E6-9E87-D0281B8AA1C1}">
  <dimension ref="A3:B6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30.109375" bestFit="1" customWidth="1"/>
  </cols>
  <sheetData>
    <row r="3" spans="1:2" x14ac:dyDescent="0.3">
      <c r="A3" s="3" t="s">
        <v>216</v>
      </c>
      <c r="B3" t="s">
        <v>225</v>
      </c>
    </row>
    <row r="4" spans="1:2" x14ac:dyDescent="0.3">
      <c r="A4" s="4" t="s">
        <v>222</v>
      </c>
      <c r="B4">
        <v>457.5625</v>
      </c>
    </row>
    <row r="5" spans="1:2" x14ac:dyDescent="0.3">
      <c r="A5" s="4" t="s">
        <v>223</v>
      </c>
      <c r="B5">
        <v>441.74188775510208</v>
      </c>
    </row>
    <row r="6" spans="1:2" x14ac:dyDescent="0.3">
      <c r="A6" s="4" t="s">
        <v>217</v>
      </c>
      <c r="B6">
        <v>442.05830000000003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5146C-7C50-4EEF-981B-599C146B1D76}">
  <dimension ref="A1:G201"/>
  <sheetViews>
    <sheetView tabSelected="1" workbookViewId="0">
      <selection activeCell="H2" sqref="H2"/>
    </sheetView>
  </sheetViews>
  <sheetFormatPr defaultRowHeight="14.4" x14ac:dyDescent="0.3"/>
  <cols>
    <col min="1" max="1" width="12.5546875" bestFit="1" customWidth="1"/>
    <col min="2" max="2" width="15.88671875" bestFit="1" customWidth="1"/>
    <col min="5" max="5" width="18.21875" customWidth="1"/>
    <col min="6" max="6" width="14.6640625" customWidth="1"/>
    <col min="7" max="7" width="18.6640625" customWidth="1"/>
  </cols>
  <sheetData>
    <row r="1" spans="1:7" x14ac:dyDescent="0.3">
      <c r="A1" s="3" t="s">
        <v>214</v>
      </c>
      <c r="B1" t="s">
        <v>219</v>
      </c>
      <c r="D1" t="s">
        <v>0</v>
      </c>
      <c r="E1" s="5" t="s">
        <v>220</v>
      </c>
      <c r="F1" s="6" t="s">
        <v>221</v>
      </c>
      <c r="G1" t="s">
        <v>224</v>
      </c>
    </row>
    <row r="2" spans="1:7" x14ac:dyDescent="0.3">
      <c r="D2" t="s">
        <v>6</v>
      </c>
      <c r="E2" t="str">
        <f>IF(COUNTIFS(subscriptions!$A:$A, D2, subscriptions!$M:$M, "Yes")&gt;0, "Fatigued", "Healthy")</f>
        <v>Healthy</v>
      </c>
      <c r="F2">
        <v>1497</v>
      </c>
      <c r="G2">
        <v>499</v>
      </c>
    </row>
    <row r="3" spans="1:7" x14ac:dyDescent="0.3">
      <c r="A3" s="3" t="s">
        <v>216</v>
      </c>
      <c r="B3" t="s">
        <v>218</v>
      </c>
      <c r="D3" t="s">
        <v>8</v>
      </c>
      <c r="E3" t="str">
        <f>IF(COUNTIFS(subscriptions!$A:$A, D3, subscriptions!$M:$M, "Yes")&gt;0, "Fatigued", "Healthy")</f>
        <v>Fatigued</v>
      </c>
      <c r="F3">
        <v>1996</v>
      </c>
      <c r="G3">
        <v>499</v>
      </c>
    </row>
    <row r="4" spans="1:7" x14ac:dyDescent="0.3">
      <c r="A4" s="4" t="s">
        <v>8</v>
      </c>
      <c r="B4">
        <v>1</v>
      </c>
      <c r="D4" t="s">
        <v>9</v>
      </c>
      <c r="E4" t="str">
        <f>IF(COUNTIFS(subscriptions!$A:$A, D4, subscriptions!$M:$M, "Yes")&gt;0, "Fatigued", "Healthy")</f>
        <v>Healthy</v>
      </c>
      <c r="F4">
        <v>2495</v>
      </c>
      <c r="G4">
        <v>499</v>
      </c>
    </row>
    <row r="5" spans="1:7" x14ac:dyDescent="0.3">
      <c r="A5" s="4" t="s">
        <v>21</v>
      </c>
      <c r="B5">
        <v>1</v>
      </c>
      <c r="D5" t="s">
        <v>11</v>
      </c>
      <c r="E5" t="str">
        <f>IF(COUNTIFS(subscriptions!$A:$A, D5, subscriptions!$M:$M, "Yes")&gt;0, "Fatigued", "Healthy")</f>
        <v>Healthy</v>
      </c>
      <c r="F5">
        <v>998</v>
      </c>
      <c r="G5">
        <v>499</v>
      </c>
    </row>
    <row r="6" spans="1:7" x14ac:dyDescent="0.3">
      <c r="A6" s="4" t="s">
        <v>26</v>
      </c>
      <c r="B6">
        <v>1</v>
      </c>
      <c r="D6" t="s">
        <v>12</v>
      </c>
      <c r="E6" t="str">
        <f>IF(COUNTIFS(subscriptions!$A:$A, D6, subscriptions!$M:$M, "Yes")&gt;0, "Fatigued", "Healthy")</f>
        <v>Healthy</v>
      </c>
      <c r="F6">
        <v>1297</v>
      </c>
      <c r="G6">
        <v>432.33</v>
      </c>
    </row>
    <row r="7" spans="1:7" x14ac:dyDescent="0.3">
      <c r="A7" s="4" t="s">
        <v>49</v>
      </c>
      <c r="B7">
        <v>1</v>
      </c>
      <c r="D7" t="s">
        <v>13</v>
      </c>
      <c r="E7" t="str">
        <f>IF(COUNTIFS(subscriptions!$A:$A, D7, subscriptions!$M:$M, "Yes")&gt;0, "Fatigued", "Healthy")</f>
        <v>Healthy</v>
      </c>
      <c r="F7">
        <v>1996</v>
      </c>
      <c r="G7">
        <v>499</v>
      </c>
    </row>
    <row r="8" spans="1:7" x14ac:dyDescent="0.3">
      <c r="A8" s="4" t="s">
        <v>217</v>
      </c>
      <c r="B8">
        <v>4</v>
      </c>
      <c r="D8" t="s">
        <v>14</v>
      </c>
      <c r="E8" t="str">
        <f>IF(COUNTIFS(subscriptions!$A:$A, D8, subscriptions!$M:$M, "Yes")&gt;0, "Fatigued", "Healthy")</f>
        <v>Healthy</v>
      </c>
      <c r="F8">
        <v>2495</v>
      </c>
      <c r="G8">
        <v>499</v>
      </c>
    </row>
    <row r="9" spans="1:7" x14ac:dyDescent="0.3">
      <c r="D9" t="s">
        <v>15</v>
      </c>
      <c r="E9" t="str">
        <f>IF(COUNTIFS(subscriptions!$A:$A, D9, subscriptions!$M:$M, "Yes")&gt;0, "Fatigued", "Healthy")</f>
        <v>Healthy</v>
      </c>
      <c r="F9">
        <v>998</v>
      </c>
      <c r="G9">
        <v>499</v>
      </c>
    </row>
    <row r="10" spans="1:7" x14ac:dyDescent="0.3">
      <c r="D10" t="s">
        <v>16</v>
      </c>
      <c r="E10" t="str">
        <f>IF(COUNTIFS(subscriptions!$A:$A, D10, subscriptions!$M:$M, "Yes")&gt;0, "Fatigued", "Healthy")</f>
        <v>Healthy</v>
      </c>
      <c r="F10">
        <v>1497</v>
      </c>
      <c r="G10">
        <v>499</v>
      </c>
    </row>
    <row r="11" spans="1:7" x14ac:dyDescent="0.3">
      <c r="D11" t="s">
        <v>17</v>
      </c>
      <c r="E11" t="str">
        <f>IF(COUNTIFS(subscriptions!$A:$A, D11, subscriptions!$M:$M, "Yes")&gt;0, "Fatigued", "Healthy")</f>
        <v>Healthy</v>
      </c>
      <c r="F11">
        <v>1796</v>
      </c>
      <c r="G11">
        <v>449</v>
      </c>
    </row>
    <row r="12" spans="1:7" x14ac:dyDescent="0.3">
      <c r="D12" t="s">
        <v>18</v>
      </c>
      <c r="E12" t="str">
        <f>IF(COUNTIFS(subscriptions!$A:$A, D12, subscriptions!$M:$M, "Yes")&gt;0, "Fatigued", "Healthy")</f>
        <v>Healthy</v>
      </c>
      <c r="F12">
        <v>2495</v>
      </c>
      <c r="G12">
        <v>499</v>
      </c>
    </row>
    <row r="13" spans="1:7" x14ac:dyDescent="0.3">
      <c r="D13" t="s">
        <v>19</v>
      </c>
      <c r="E13" t="str">
        <f>IF(COUNTIFS(subscriptions!$A:$A, D13, subscriptions!$M:$M, "Yes")&gt;0, "Fatigued", "Healthy")</f>
        <v>Healthy</v>
      </c>
      <c r="F13">
        <v>998</v>
      </c>
      <c r="G13">
        <v>499</v>
      </c>
    </row>
    <row r="14" spans="1:7" x14ac:dyDescent="0.3">
      <c r="D14" t="s">
        <v>20</v>
      </c>
      <c r="E14" t="str">
        <f>IF(COUNTIFS(subscriptions!$A:$A, D14, subscriptions!$M:$M, "Yes")&gt;0, "Fatigued", "Healthy")</f>
        <v>Healthy</v>
      </c>
      <c r="F14">
        <v>1497</v>
      </c>
      <c r="G14">
        <v>499</v>
      </c>
    </row>
    <row r="15" spans="1:7" x14ac:dyDescent="0.3">
      <c r="D15" t="s">
        <v>21</v>
      </c>
      <c r="E15" t="str">
        <f>IF(COUNTIFS(subscriptions!$A:$A, D15, subscriptions!$M:$M, "Yes")&gt;0, "Fatigued", "Healthy")</f>
        <v>Fatigued</v>
      </c>
      <c r="F15">
        <v>1996</v>
      </c>
      <c r="G15">
        <v>499</v>
      </c>
    </row>
    <row r="16" spans="1:7" x14ac:dyDescent="0.3">
      <c r="D16" t="s">
        <v>22</v>
      </c>
      <c r="E16" t="str">
        <f>IF(COUNTIFS(subscriptions!$A:$A, D16, subscriptions!$M:$M, "Yes")&gt;0, "Fatigued", "Healthy")</f>
        <v>Healthy</v>
      </c>
      <c r="F16">
        <v>2295</v>
      </c>
      <c r="G16">
        <v>459</v>
      </c>
    </row>
    <row r="17" spans="4:7" x14ac:dyDescent="0.3">
      <c r="D17" t="s">
        <v>23</v>
      </c>
      <c r="E17" t="str">
        <f>IF(COUNTIFS(subscriptions!$A:$A, D17, subscriptions!$M:$M, "Yes")&gt;0, "Fatigued", "Healthy")</f>
        <v>Healthy</v>
      </c>
      <c r="F17">
        <v>998</v>
      </c>
      <c r="G17">
        <v>499</v>
      </c>
    </row>
    <row r="18" spans="4:7" x14ac:dyDescent="0.3">
      <c r="D18" t="s">
        <v>24</v>
      </c>
      <c r="E18" t="str">
        <f>IF(COUNTIFS(subscriptions!$A:$A, D18, subscriptions!$M:$M, "Yes")&gt;0, "Fatigued", "Healthy")</f>
        <v>Healthy</v>
      </c>
      <c r="F18">
        <v>1497</v>
      </c>
      <c r="G18">
        <v>499</v>
      </c>
    </row>
    <row r="19" spans="4:7" x14ac:dyDescent="0.3">
      <c r="D19" t="s">
        <v>25</v>
      </c>
      <c r="E19" t="str">
        <f>IF(COUNTIFS(subscriptions!$A:$A, D19, subscriptions!$M:$M, "Yes")&gt;0, "Fatigued", "Healthy")</f>
        <v>Healthy</v>
      </c>
      <c r="F19">
        <v>1996</v>
      </c>
      <c r="G19">
        <v>499</v>
      </c>
    </row>
    <row r="20" spans="4:7" x14ac:dyDescent="0.3">
      <c r="D20" t="s">
        <v>26</v>
      </c>
      <c r="E20" t="str">
        <f>IF(COUNTIFS(subscriptions!$A:$A, D20, subscriptions!$M:$M, "Yes")&gt;0, "Fatigued", "Healthy")</f>
        <v>Fatigued</v>
      </c>
      <c r="F20">
        <v>2495</v>
      </c>
      <c r="G20">
        <v>499</v>
      </c>
    </row>
    <row r="21" spans="4:7" x14ac:dyDescent="0.3">
      <c r="D21" t="s">
        <v>27</v>
      </c>
      <c r="E21" t="str">
        <f>IF(COUNTIFS(subscriptions!$A:$A, D21, subscriptions!$M:$M, "Yes")&gt;0, "Fatigued", "Healthy")</f>
        <v>Healthy</v>
      </c>
      <c r="F21">
        <v>798</v>
      </c>
      <c r="G21">
        <v>399</v>
      </c>
    </row>
    <row r="22" spans="4:7" x14ac:dyDescent="0.3">
      <c r="D22" t="s">
        <v>28</v>
      </c>
      <c r="E22" t="str">
        <f>IF(COUNTIFS(subscriptions!$A:$A, D22, subscriptions!$M:$M, "Yes")&gt;0, "Fatigued", "Healthy")</f>
        <v>Healthy</v>
      </c>
      <c r="F22">
        <v>1497</v>
      </c>
      <c r="G22">
        <v>499</v>
      </c>
    </row>
    <row r="23" spans="4:7" x14ac:dyDescent="0.3">
      <c r="D23" t="s">
        <v>29</v>
      </c>
      <c r="E23" t="str">
        <f>IF(COUNTIFS(subscriptions!$A:$A, D23, subscriptions!$M:$M, "Yes")&gt;0, "Fatigued", "Healthy")</f>
        <v>Healthy</v>
      </c>
      <c r="F23">
        <v>1996</v>
      </c>
      <c r="G23">
        <v>499</v>
      </c>
    </row>
    <row r="24" spans="4:7" x14ac:dyDescent="0.3">
      <c r="D24" t="s">
        <v>30</v>
      </c>
      <c r="E24" t="str">
        <f>IF(COUNTIFS(subscriptions!$A:$A, D24, subscriptions!$M:$M, "Yes")&gt;0, "Fatigued", "Healthy")</f>
        <v>Healthy</v>
      </c>
      <c r="F24">
        <v>2495</v>
      </c>
      <c r="G24">
        <v>499</v>
      </c>
    </row>
    <row r="25" spans="4:7" x14ac:dyDescent="0.3">
      <c r="D25" t="s">
        <v>31</v>
      </c>
      <c r="E25" t="str">
        <f>IF(COUNTIFS(subscriptions!$A:$A, D25, subscriptions!$M:$M, "Yes")&gt;0, "Fatigued", "Healthy")</f>
        <v>Healthy</v>
      </c>
      <c r="F25">
        <v>998</v>
      </c>
      <c r="G25">
        <v>499</v>
      </c>
    </row>
    <row r="26" spans="4:7" x14ac:dyDescent="0.3">
      <c r="D26" t="s">
        <v>32</v>
      </c>
      <c r="E26" t="str">
        <f>IF(COUNTIFS(subscriptions!$A:$A, D26, subscriptions!$M:$M, "Yes")&gt;0, "Fatigued", "Healthy")</f>
        <v>Healthy</v>
      </c>
      <c r="F26">
        <v>1297</v>
      </c>
      <c r="G26">
        <v>432.33</v>
      </c>
    </row>
    <row r="27" spans="4:7" x14ac:dyDescent="0.3">
      <c r="D27" t="s">
        <v>33</v>
      </c>
      <c r="E27" t="str">
        <f>IF(COUNTIFS(subscriptions!$A:$A, D27, subscriptions!$M:$M, "Yes")&gt;0, "Fatigued", "Healthy")</f>
        <v>Healthy</v>
      </c>
      <c r="F27">
        <v>1996</v>
      </c>
      <c r="G27">
        <v>499</v>
      </c>
    </row>
    <row r="28" spans="4:7" x14ac:dyDescent="0.3">
      <c r="D28" t="s">
        <v>34</v>
      </c>
      <c r="E28" t="str">
        <f>IF(COUNTIFS(subscriptions!$A:$A, D28, subscriptions!$M:$M, "Yes")&gt;0, "Fatigued", "Healthy")</f>
        <v>Healthy</v>
      </c>
      <c r="F28">
        <v>2495</v>
      </c>
      <c r="G28">
        <v>499</v>
      </c>
    </row>
    <row r="29" spans="4:7" x14ac:dyDescent="0.3">
      <c r="D29" t="s">
        <v>35</v>
      </c>
      <c r="E29" t="str">
        <f>IF(COUNTIFS(subscriptions!$A:$A, D29, subscriptions!$M:$M, "Yes")&gt;0, "Fatigued", "Healthy")</f>
        <v>Healthy</v>
      </c>
      <c r="F29">
        <v>998</v>
      </c>
      <c r="G29">
        <v>499</v>
      </c>
    </row>
    <row r="30" spans="4:7" x14ac:dyDescent="0.3">
      <c r="D30" t="s">
        <v>36</v>
      </c>
      <c r="E30" t="str">
        <f>IF(COUNTIFS(subscriptions!$A:$A, D30, subscriptions!$M:$M, "Yes")&gt;0, "Fatigued", "Healthy")</f>
        <v>Healthy</v>
      </c>
      <c r="F30">
        <v>1497</v>
      </c>
      <c r="G30">
        <v>499</v>
      </c>
    </row>
    <row r="31" spans="4:7" x14ac:dyDescent="0.3">
      <c r="D31" t="s">
        <v>37</v>
      </c>
      <c r="E31" t="str">
        <f>IF(COUNTIFS(subscriptions!$A:$A, D31, subscriptions!$M:$M, "Yes")&gt;0, "Fatigued", "Healthy")</f>
        <v>Healthy</v>
      </c>
      <c r="F31">
        <v>1796</v>
      </c>
      <c r="G31">
        <v>449</v>
      </c>
    </row>
    <row r="32" spans="4:7" x14ac:dyDescent="0.3">
      <c r="D32" t="s">
        <v>38</v>
      </c>
      <c r="E32" t="str">
        <f>IF(COUNTIFS(subscriptions!$A:$A, D32, subscriptions!$M:$M, "Yes")&gt;0, "Fatigued", "Healthy")</f>
        <v>Healthy</v>
      </c>
      <c r="F32">
        <v>2495</v>
      </c>
      <c r="G32">
        <v>499</v>
      </c>
    </row>
    <row r="33" spans="4:7" x14ac:dyDescent="0.3">
      <c r="D33" t="s">
        <v>39</v>
      </c>
      <c r="E33" t="str">
        <f>IF(COUNTIFS(subscriptions!$A:$A, D33, subscriptions!$M:$M, "Yes")&gt;0, "Fatigued", "Healthy")</f>
        <v>Healthy</v>
      </c>
      <c r="F33">
        <v>998</v>
      </c>
      <c r="G33">
        <v>499</v>
      </c>
    </row>
    <row r="34" spans="4:7" x14ac:dyDescent="0.3">
      <c r="D34" t="s">
        <v>40</v>
      </c>
      <c r="E34" t="str">
        <f>IF(COUNTIFS(subscriptions!$A:$A, D34, subscriptions!$M:$M, "Yes")&gt;0, "Fatigued", "Healthy")</f>
        <v>Healthy</v>
      </c>
      <c r="F34">
        <v>1497</v>
      </c>
      <c r="G34">
        <v>499</v>
      </c>
    </row>
    <row r="35" spans="4:7" x14ac:dyDescent="0.3">
      <c r="D35" t="s">
        <v>41</v>
      </c>
      <c r="E35" t="str">
        <f>IF(COUNTIFS(subscriptions!$A:$A, D35, subscriptions!$M:$M, "Yes")&gt;0, "Fatigued", "Healthy")</f>
        <v>Healthy</v>
      </c>
      <c r="F35">
        <v>1996</v>
      </c>
      <c r="G35">
        <v>499</v>
      </c>
    </row>
    <row r="36" spans="4:7" x14ac:dyDescent="0.3">
      <c r="D36" t="s">
        <v>42</v>
      </c>
      <c r="E36" t="str">
        <f>IF(COUNTIFS(subscriptions!$A:$A, D36, subscriptions!$M:$M, "Yes")&gt;0, "Fatigued", "Healthy")</f>
        <v>Healthy</v>
      </c>
      <c r="F36">
        <v>2295</v>
      </c>
      <c r="G36">
        <v>459</v>
      </c>
    </row>
    <row r="37" spans="4:7" x14ac:dyDescent="0.3">
      <c r="D37" t="s">
        <v>43</v>
      </c>
      <c r="E37" t="str">
        <f>IF(COUNTIFS(subscriptions!$A:$A, D37, subscriptions!$M:$M, "Yes")&gt;0, "Fatigued", "Healthy")</f>
        <v>Healthy</v>
      </c>
      <c r="F37">
        <v>3999</v>
      </c>
      <c r="G37">
        <v>333.25</v>
      </c>
    </row>
    <row r="38" spans="4:7" x14ac:dyDescent="0.3">
      <c r="D38" t="s">
        <v>44</v>
      </c>
      <c r="E38" t="str">
        <f>IF(COUNTIFS(subscriptions!$A:$A, D38, subscriptions!$M:$M, "Yes")&gt;0, "Fatigued", "Healthy")</f>
        <v>Healthy</v>
      </c>
      <c r="F38">
        <v>3999</v>
      </c>
      <c r="G38">
        <v>333.25</v>
      </c>
    </row>
    <row r="39" spans="4:7" x14ac:dyDescent="0.3">
      <c r="D39" t="s">
        <v>45</v>
      </c>
      <c r="E39" t="str">
        <f>IF(COUNTIFS(subscriptions!$A:$A, D39, subscriptions!$M:$M, "Yes")&gt;0, "Fatigued", "Healthy")</f>
        <v>Healthy</v>
      </c>
      <c r="F39">
        <v>3999</v>
      </c>
      <c r="G39">
        <v>333.25</v>
      </c>
    </row>
    <row r="40" spans="4:7" x14ac:dyDescent="0.3">
      <c r="D40" t="s">
        <v>46</v>
      </c>
      <c r="E40" t="str">
        <f>IF(COUNTIFS(subscriptions!$A:$A, D40, subscriptions!$M:$M, "Yes")&gt;0, "Fatigued", "Healthy")</f>
        <v>Healthy</v>
      </c>
      <c r="F40">
        <v>3999</v>
      </c>
      <c r="G40">
        <v>333.25</v>
      </c>
    </row>
    <row r="41" spans="4:7" x14ac:dyDescent="0.3">
      <c r="D41" t="s">
        <v>47</v>
      </c>
      <c r="E41" t="str">
        <f>IF(COUNTIFS(subscriptions!$A:$A, D41, subscriptions!$M:$M, "Yes")&gt;0, "Fatigued", "Healthy")</f>
        <v>Healthy</v>
      </c>
      <c r="F41">
        <v>3999</v>
      </c>
      <c r="G41">
        <v>333.25</v>
      </c>
    </row>
    <row r="42" spans="4:7" x14ac:dyDescent="0.3">
      <c r="D42" t="s">
        <v>48</v>
      </c>
      <c r="E42" t="str">
        <f>IF(COUNTIFS(subscriptions!$A:$A, D42, subscriptions!$M:$M, "Yes")&gt;0, "Fatigued", "Healthy")</f>
        <v>Healthy</v>
      </c>
      <c r="F42">
        <v>3999</v>
      </c>
      <c r="G42">
        <v>333.25</v>
      </c>
    </row>
    <row r="43" spans="4:7" x14ac:dyDescent="0.3">
      <c r="D43" t="s">
        <v>49</v>
      </c>
      <c r="E43" t="str">
        <f>IF(COUNTIFS(subscriptions!$A:$A, D43, subscriptions!$M:$M, "Yes")&gt;0, "Fatigued", "Healthy")</f>
        <v>Fatigued</v>
      </c>
      <c r="F43">
        <v>3999</v>
      </c>
      <c r="G43">
        <v>333.25</v>
      </c>
    </row>
    <row r="44" spans="4:7" x14ac:dyDescent="0.3">
      <c r="D44" t="s">
        <v>50</v>
      </c>
      <c r="E44" t="str">
        <f>IF(COUNTIFS(subscriptions!$A:$A, D44, subscriptions!$M:$M, "Yes")&gt;0, "Fatigued", "Healthy")</f>
        <v>Healthy</v>
      </c>
      <c r="F44">
        <v>3999</v>
      </c>
      <c r="G44">
        <v>333.25</v>
      </c>
    </row>
    <row r="45" spans="4:7" x14ac:dyDescent="0.3">
      <c r="D45" t="s">
        <v>51</v>
      </c>
      <c r="E45" t="str">
        <f>IF(COUNTIFS(subscriptions!$A:$A, D45, subscriptions!$M:$M, "Yes")&gt;0, "Fatigued", "Healthy")</f>
        <v>Healthy</v>
      </c>
      <c r="F45">
        <v>3999</v>
      </c>
      <c r="G45">
        <v>333.25</v>
      </c>
    </row>
    <row r="46" spans="4:7" x14ac:dyDescent="0.3">
      <c r="D46" t="s">
        <v>52</v>
      </c>
      <c r="E46" t="str">
        <f>IF(COUNTIFS(subscriptions!$A:$A, D46, subscriptions!$M:$M, "Yes")&gt;0, "Fatigued", "Healthy")</f>
        <v>Healthy</v>
      </c>
      <c r="F46">
        <v>3999</v>
      </c>
      <c r="G46">
        <v>333.25</v>
      </c>
    </row>
    <row r="47" spans="4:7" x14ac:dyDescent="0.3">
      <c r="D47" t="s">
        <v>53</v>
      </c>
      <c r="E47" t="str">
        <f>IF(COUNTIFS(subscriptions!$A:$A, D47, subscriptions!$M:$M, "Yes")&gt;0, "Fatigued", "Healthy")</f>
        <v>Healthy</v>
      </c>
      <c r="F47">
        <v>3999</v>
      </c>
      <c r="G47">
        <v>333.25</v>
      </c>
    </row>
    <row r="48" spans="4:7" x14ac:dyDescent="0.3">
      <c r="D48" t="s">
        <v>54</v>
      </c>
      <c r="E48" t="str">
        <f>IF(COUNTIFS(subscriptions!$A:$A, D48, subscriptions!$M:$M, "Yes")&gt;0, "Fatigued", "Healthy")</f>
        <v>Healthy</v>
      </c>
      <c r="F48">
        <v>3999</v>
      </c>
      <c r="G48">
        <v>333.25</v>
      </c>
    </row>
    <row r="49" spans="4:7" x14ac:dyDescent="0.3">
      <c r="D49" t="s">
        <v>55</v>
      </c>
      <c r="E49" t="str">
        <f>IF(COUNTIFS(subscriptions!$A:$A, D49, subscriptions!$M:$M, "Yes")&gt;0, "Fatigued", "Healthy")</f>
        <v>Healthy</v>
      </c>
      <c r="F49">
        <v>3999</v>
      </c>
      <c r="G49">
        <v>333.25</v>
      </c>
    </row>
    <row r="50" spans="4:7" x14ac:dyDescent="0.3">
      <c r="D50" t="s">
        <v>56</v>
      </c>
      <c r="E50" t="str">
        <f>IF(COUNTIFS(subscriptions!$A:$A, D50, subscriptions!$M:$M, "Yes")&gt;0, "Fatigued", "Healthy")</f>
        <v>Healthy</v>
      </c>
      <c r="F50">
        <v>3999</v>
      </c>
      <c r="G50">
        <v>333.25</v>
      </c>
    </row>
    <row r="51" spans="4:7" x14ac:dyDescent="0.3">
      <c r="D51" t="s">
        <v>57</v>
      </c>
      <c r="E51" t="str">
        <f>IF(COUNTIFS(subscriptions!$A:$A, D51, subscriptions!$M:$M, "Yes")&gt;0, "Fatigued", "Healthy")</f>
        <v>Healthy</v>
      </c>
      <c r="F51">
        <v>3999</v>
      </c>
      <c r="G51">
        <v>333.25</v>
      </c>
    </row>
    <row r="52" spans="4:7" x14ac:dyDescent="0.3">
      <c r="D52" t="s">
        <v>58</v>
      </c>
      <c r="E52" t="str">
        <f>IF(COUNTIFS(subscriptions!$A:$A, D52, subscriptions!$M:$M, "Yes")&gt;0, "Fatigued", "Healthy")</f>
        <v>Healthy</v>
      </c>
      <c r="F52">
        <v>2495</v>
      </c>
      <c r="G52">
        <v>499</v>
      </c>
    </row>
    <row r="53" spans="4:7" x14ac:dyDescent="0.3">
      <c r="D53" t="s">
        <v>59</v>
      </c>
      <c r="E53" t="str">
        <f>IF(COUNTIFS(subscriptions!$A:$A, D53, subscriptions!$M:$M, "Yes")&gt;0, "Fatigued", "Healthy")</f>
        <v>Healthy</v>
      </c>
      <c r="F53">
        <v>998</v>
      </c>
      <c r="G53">
        <v>499</v>
      </c>
    </row>
    <row r="54" spans="4:7" x14ac:dyDescent="0.3">
      <c r="D54" t="s">
        <v>60</v>
      </c>
      <c r="E54" t="str">
        <f>IF(COUNTIFS(subscriptions!$A:$A, D54, subscriptions!$M:$M, "Yes")&gt;0, "Fatigued", "Healthy")</f>
        <v>Healthy</v>
      </c>
      <c r="F54">
        <v>1497</v>
      </c>
      <c r="G54">
        <v>499</v>
      </c>
    </row>
    <row r="55" spans="4:7" x14ac:dyDescent="0.3">
      <c r="D55" t="s">
        <v>61</v>
      </c>
      <c r="E55" t="str">
        <f>IF(COUNTIFS(subscriptions!$A:$A, D55, subscriptions!$M:$M, "Yes")&gt;0, "Fatigued", "Healthy")</f>
        <v>Healthy</v>
      </c>
      <c r="F55">
        <v>1796</v>
      </c>
      <c r="G55">
        <v>449</v>
      </c>
    </row>
    <row r="56" spans="4:7" x14ac:dyDescent="0.3">
      <c r="D56" t="s">
        <v>62</v>
      </c>
      <c r="E56" t="str">
        <f>IF(COUNTIFS(subscriptions!$A:$A, D56, subscriptions!$M:$M, "Yes")&gt;0, "Fatigued", "Healthy")</f>
        <v>Healthy</v>
      </c>
      <c r="F56">
        <v>2495</v>
      </c>
      <c r="G56">
        <v>499</v>
      </c>
    </row>
    <row r="57" spans="4:7" x14ac:dyDescent="0.3">
      <c r="D57" t="s">
        <v>63</v>
      </c>
      <c r="E57" t="str">
        <f>IF(COUNTIFS(subscriptions!$A:$A, D57, subscriptions!$M:$M, "Yes")&gt;0, "Fatigued", "Healthy")</f>
        <v>Healthy</v>
      </c>
      <c r="F57">
        <v>998</v>
      </c>
      <c r="G57">
        <v>499</v>
      </c>
    </row>
    <row r="58" spans="4:7" x14ac:dyDescent="0.3">
      <c r="D58" t="s">
        <v>64</v>
      </c>
      <c r="E58" t="str">
        <f>IF(COUNTIFS(subscriptions!$A:$A, D58, subscriptions!$M:$M, "Yes")&gt;0, "Fatigued", "Healthy")</f>
        <v>Healthy</v>
      </c>
      <c r="F58">
        <v>1497</v>
      </c>
      <c r="G58">
        <v>499</v>
      </c>
    </row>
    <row r="59" spans="4:7" x14ac:dyDescent="0.3">
      <c r="D59" t="s">
        <v>65</v>
      </c>
      <c r="E59" t="str">
        <f>IF(COUNTIFS(subscriptions!$A:$A, D59, subscriptions!$M:$M, "Yes")&gt;0, "Fatigued", "Healthy")</f>
        <v>Healthy</v>
      </c>
      <c r="F59">
        <v>1996</v>
      </c>
      <c r="G59">
        <v>499</v>
      </c>
    </row>
    <row r="60" spans="4:7" x14ac:dyDescent="0.3">
      <c r="D60" t="s">
        <v>66</v>
      </c>
      <c r="E60" t="str">
        <f>IF(COUNTIFS(subscriptions!$A:$A, D60, subscriptions!$M:$M, "Yes")&gt;0, "Fatigued", "Healthy")</f>
        <v>Healthy</v>
      </c>
      <c r="F60">
        <v>2495</v>
      </c>
      <c r="G60">
        <v>499</v>
      </c>
    </row>
    <row r="61" spans="4:7" x14ac:dyDescent="0.3">
      <c r="D61" t="s">
        <v>67</v>
      </c>
      <c r="E61" t="str">
        <f>IF(COUNTIFS(subscriptions!$A:$A, D61, subscriptions!$M:$M, "Yes")&gt;0, "Fatigued", "Healthy")</f>
        <v>Healthy</v>
      </c>
      <c r="F61">
        <v>798</v>
      </c>
      <c r="G61">
        <v>399</v>
      </c>
    </row>
    <row r="62" spans="4:7" x14ac:dyDescent="0.3">
      <c r="D62" t="s">
        <v>68</v>
      </c>
      <c r="E62" t="str">
        <f>IF(COUNTIFS(subscriptions!$A:$A, D62, subscriptions!$M:$M, "Yes")&gt;0, "Fatigued", "Healthy")</f>
        <v>Healthy</v>
      </c>
      <c r="F62">
        <v>1497</v>
      </c>
      <c r="G62">
        <v>499</v>
      </c>
    </row>
    <row r="63" spans="4:7" x14ac:dyDescent="0.3">
      <c r="D63" t="s">
        <v>69</v>
      </c>
      <c r="E63" t="str">
        <f>IF(COUNTIFS(subscriptions!$A:$A, D63, subscriptions!$M:$M, "Yes")&gt;0, "Fatigued", "Healthy")</f>
        <v>Healthy</v>
      </c>
      <c r="F63">
        <v>1996</v>
      </c>
      <c r="G63">
        <v>499</v>
      </c>
    </row>
    <row r="64" spans="4:7" x14ac:dyDescent="0.3">
      <c r="D64" t="s">
        <v>70</v>
      </c>
      <c r="E64" t="str">
        <f>IF(COUNTIFS(subscriptions!$A:$A, D64, subscriptions!$M:$M, "Yes")&gt;0, "Fatigued", "Healthy")</f>
        <v>Healthy</v>
      </c>
      <c r="F64">
        <v>2495</v>
      </c>
      <c r="G64">
        <v>499</v>
      </c>
    </row>
    <row r="65" spans="4:7" x14ac:dyDescent="0.3">
      <c r="D65" t="s">
        <v>71</v>
      </c>
      <c r="E65" t="str">
        <f>IF(COUNTIFS(subscriptions!$A:$A, D65, subscriptions!$M:$M, "Yes")&gt;0, "Fatigued", "Healthy")</f>
        <v>Healthy</v>
      </c>
      <c r="F65">
        <v>998</v>
      </c>
      <c r="G65">
        <v>499</v>
      </c>
    </row>
    <row r="66" spans="4:7" x14ac:dyDescent="0.3">
      <c r="D66" t="s">
        <v>72</v>
      </c>
      <c r="E66" t="str">
        <f>IF(COUNTIFS(subscriptions!$A:$A, D66, subscriptions!$M:$M, "Yes")&gt;0, "Fatigued", "Healthy")</f>
        <v>Healthy</v>
      </c>
      <c r="F66">
        <v>1497</v>
      </c>
      <c r="G66">
        <v>499</v>
      </c>
    </row>
    <row r="67" spans="4:7" x14ac:dyDescent="0.3">
      <c r="D67" t="s">
        <v>73</v>
      </c>
      <c r="E67" t="str">
        <f>IF(COUNTIFS(subscriptions!$A:$A, D67, subscriptions!$M:$M, "Yes")&gt;0, "Fatigued", "Healthy")</f>
        <v>Healthy</v>
      </c>
      <c r="F67">
        <v>1796</v>
      </c>
      <c r="G67">
        <v>449</v>
      </c>
    </row>
    <row r="68" spans="4:7" x14ac:dyDescent="0.3">
      <c r="D68" t="s">
        <v>74</v>
      </c>
      <c r="E68" t="str">
        <f>IF(COUNTIFS(subscriptions!$A:$A, D68, subscriptions!$M:$M, "Yes")&gt;0, "Fatigued", "Healthy")</f>
        <v>Healthy</v>
      </c>
      <c r="F68">
        <v>2495</v>
      </c>
      <c r="G68">
        <v>499</v>
      </c>
    </row>
    <row r="69" spans="4:7" x14ac:dyDescent="0.3">
      <c r="D69" t="s">
        <v>75</v>
      </c>
      <c r="E69" t="str">
        <f>IF(COUNTIFS(subscriptions!$A:$A, D69, subscriptions!$M:$M, "Yes")&gt;0, "Fatigued", "Healthy")</f>
        <v>Healthy</v>
      </c>
      <c r="F69">
        <v>998</v>
      </c>
      <c r="G69">
        <v>499</v>
      </c>
    </row>
    <row r="70" spans="4:7" x14ac:dyDescent="0.3">
      <c r="D70" t="s">
        <v>76</v>
      </c>
      <c r="E70" t="str">
        <f>IF(COUNTIFS(subscriptions!$A:$A, D70, subscriptions!$M:$M, "Yes")&gt;0, "Fatigued", "Healthy")</f>
        <v>Healthy</v>
      </c>
      <c r="F70">
        <v>1497</v>
      </c>
      <c r="G70">
        <v>499</v>
      </c>
    </row>
    <row r="71" spans="4:7" x14ac:dyDescent="0.3">
      <c r="D71" t="s">
        <v>77</v>
      </c>
      <c r="E71" t="str">
        <f>IF(COUNTIFS(subscriptions!$A:$A, D71, subscriptions!$M:$M, "Yes")&gt;0, "Fatigued", "Healthy")</f>
        <v>Healthy</v>
      </c>
      <c r="F71">
        <v>1996</v>
      </c>
      <c r="G71">
        <v>499</v>
      </c>
    </row>
    <row r="72" spans="4:7" x14ac:dyDescent="0.3">
      <c r="D72" t="s">
        <v>78</v>
      </c>
      <c r="E72" t="str">
        <f>IF(COUNTIFS(subscriptions!$A:$A, D72, subscriptions!$M:$M, "Yes")&gt;0, "Fatigued", "Healthy")</f>
        <v>Healthy</v>
      </c>
      <c r="F72">
        <v>2495</v>
      </c>
      <c r="G72">
        <v>499</v>
      </c>
    </row>
    <row r="73" spans="4:7" x14ac:dyDescent="0.3">
      <c r="D73" t="s">
        <v>79</v>
      </c>
      <c r="E73" t="str">
        <f>IF(COUNTIFS(subscriptions!$A:$A, D73, subscriptions!$M:$M, "Yes")&gt;0, "Fatigued", "Healthy")</f>
        <v>Healthy</v>
      </c>
      <c r="F73">
        <v>798</v>
      </c>
      <c r="G73">
        <v>399</v>
      </c>
    </row>
    <row r="74" spans="4:7" x14ac:dyDescent="0.3">
      <c r="D74" t="s">
        <v>80</v>
      </c>
      <c r="E74" t="str">
        <f>IF(COUNTIFS(subscriptions!$A:$A, D74, subscriptions!$M:$M, "Yes")&gt;0, "Fatigued", "Healthy")</f>
        <v>Healthy</v>
      </c>
      <c r="F74">
        <v>1497</v>
      </c>
      <c r="G74">
        <v>499</v>
      </c>
    </row>
    <row r="75" spans="4:7" x14ac:dyDescent="0.3">
      <c r="D75" t="s">
        <v>81</v>
      </c>
      <c r="E75" t="str">
        <f>IF(COUNTIFS(subscriptions!$A:$A, D75, subscriptions!$M:$M, "Yes")&gt;0, "Fatigued", "Healthy")</f>
        <v>Healthy</v>
      </c>
      <c r="F75">
        <v>1996</v>
      </c>
      <c r="G75">
        <v>499</v>
      </c>
    </row>
    <row r="76" spans="4:7" x14ac:dyDescent="0.3">
      <c r="D76" t="s">
        <v>82</v>
      </c>
      <c r="E76" t="str">
        <f>IF(COUNTIFS(subscriptions!$A:$A, D76, subscriptions!$M:$M, "Yes")&gt;0, "Fatigued", "Healthy")</f>
        <v>Healthy</v>
      </c>
      <c r="F76">
        <v>2495</v>
      </c>
      <c r="G76">
        <v>499</v>
      </c>
    </row>
    <row r="77" spans="4:7" x14ac:dyDescent="0.3">
      <c r="D77" t="s">
        <v>83</v>
      </c>
      <c r="E77" t="str">
        <f>IF(COUNTIFS(subscriptions!$A:$A, D77, subscriptions!$M:$M, "Yes")&gt;0, "Fatigued", "Healthy")</f>
        <v>Healthy</v>
      </c>
      <c r="F77">
        <v>998</v>
      </c>
      <c r="G77">
        <v>499</v>
      </c>
    </row>
    <row r="78" spans="4:7" x14ac:dyDescent="0.3">
      <c r="D78" t="s">
        <v>84</v>
      </c>
      <c r="E78" t="str">
        <f>IF(COUNTIFS(subscriptions!$A:$A, D78, subscriptions!$M:$M, "Yes")&gt;0, "Fatigued", "Healthy")</f>
        <v>Healthy</v>
      </c>
      <c r="F78">
        <v>1497</v>
      </c>
      <c r="G78">
        <v>499</v>
      </c>
    </row>
    <row r="79" spans="4:7" x14ac:dyDescent="0.3">
      <c r="D79" t="s">
        <v>85</v>
      </c>
      <c r="E79" t="str">
        <f>IF(COUNTIFS(subscriptions!$A:$A, D79, subscriptions!$M:$M, "Yes")&gt;0, "Fatigued", "Healthy")</f>
        <v>Healthy</v>
      </c>
      <c r="F79">
        <v>1796</v>
      </c>
      <c r="G79">
        <v>449</v>
      </c>
    </row>
    <row r="80" spans="4:7" x14ac:dyDescent="0.3">
      <c r="D80" t="s">
        <v>86</v>
      </c>
      <c r="E80" t="str">
        <f>IF(COUNTIFS(subscriptions!$A:$A, D80, subscriptions!$M:$M, "Yes")&gt;0, "Fatigued", "Healthy")</f>
        <v>Healthy</v>
      </c>
      <c r="F80">
        <v>2495</v>
      </c>
      <c r="G80">
        <v>499</v>
      </c>
    </row>
    <row r="81" spans="4:7" x14ac:dyDescent="0.3">
      <c r="D81" t="s">
        <v>87</v>
      </c>
      <c r="E81" t="str">
        <f>IF(COUNTIFS(subscriptions!$A:$A, D81, subscriptions!$M:$M, "Yes")&gt;0, "Fatigued", "Healthy")</f>
        <v>Healthy</v>
      </c>
      <c r="F81">
        <v>998</v>
      </c>
      <c r="G81">
        <v>499</v>
      </c>
    </row>
    <row r="82" spans="4:7" x14ac:dyDescent="0.3">
      <c r="D82" t="s">
        <v>88</v>
      </c>
      <c r="E82" t="str">
        <f>IF(COUNTIFS(subscriptions!$A:$A, D82, subscriptions!$M:$M, "Yes")&gt;0, "Fatigued", "Healthy")</f>
        <v>Healthy</v>
      </c>
      <c r="F82">
        <v>1497</v>
      </c>
      <c r="G82">
        <v>499</v>
      </c>
    </row>
    <row r="83" spans="4:7" x14ac:dyDescent="0.3">
      <c r="D83" t="s">
        <v>89</v>
      </c>
      <c r="E83" t="str">
        <f>IF(COUNTIFS(subscriptions!$A:$A, D83, subscriptions!$M:$M, "Yes")&gt;0, "Fatigued", "Healthy")</f>
        <v>Healthy</v>
      </c>
      <c r="F83">
        <v>1996</v>
      </c>
      <c r="G83">
        <v>499</v>
      </c>
    </row>
    <row r="84" spans="4:7" x14ac:dyDescent="0.3">
      <c r="D84" t="s">
        <v>90</v>
      </c>
      <c r="E84" t="str">
        <f>IF(COUNTIFS(subscriptions!$A:$A, D84, subscriptions!$M:$M, "Yes")&gt;0, "Fatigued", "Healthy")</f>
        <v>Healthy</v>
      </c>
      <c r="F84">
        <v>2495</v>
      </c>
      <c r="G84">
        <v>499</v>
      </c>
    </row>
    <row r="85" spans="4:7" x14ac:dyDescent="0.3">
      <c r="D85" t="s">
        <v>91</v>
      </c>
      <c r="E85" t="str">
        <f>IF(COUNTIFS(subscriptions!$A:$A, D85, subscriptions!$M:$M, "Yes")&gt;0, "Fatigued", "Healthy")</f>
        <v>Healthy</v>
      </c>
      <c r="F85">
        <v>798</v>
      </c>
      <c r="G85">
        <v>399</v>
      </c>
    </row>
    <row r="86" spans="4:7" x14ac:dyDescent="0.3">
      <c r="D86" t="s">
        <v>92</v>
      </c>
      <c r="E86" t="str">
        <f>IF(COUNTIFS(subscriptions!$A:$A, D86, subscriptions!$M:$M, "Yes")&gt;0, "Fatigued", "Healthy")</f>
        <v>Healthy</v>
      </c>
      <c r="F86">
        <v>1497</v>
      </c>
      <c r="G86">
        <v>499</v>
      </c>
    </row>
    <row r="87" spans="4:7" x14ac:dyDescent="0.3">
      <c r="D87" t="s">
        <v>93</v>
      </c>
      <c r="E87" t="str">
        <f>IF(COUNTIFS(subscriptions!$A:$A, D87, subscriptions!$M:$M, "Yes")&gt;0, "Fatigued", "Healthy")</f>
        <v>Healthy</v>
      </c>
      <c r="F87">
        <v>3999</v>
      </c>
      <c r="G87">
        <v>333.25</v>
      </c>
    </row>
    <row r="88" spans="4:7" x14ac:dyDescent="0.3">
      <c r="D88" t="s">
        <v>94</v>
      </c>
      <c r="E88" t="str">
        <f>IF(COUNTIFS(subscriptions!$A:$A, D88, subscriptions!$M:$M, "Yes")&gt;0, "Fatigued", "Healthy")</f>
        <v>Healthy</v>
      </c>
      <c r="F88">
        <v>3999</v>
      </c>
      <c r="G88">
        <v>333.25</v>
      </c>
    </row>
    <row r="89" spans="4:7" x14ac:dyDescent="0.3">
      <c r="D89" t="s">
        <v>95</v>
      </c>
      <c r="E89" t="str">
        <f>IF(COUNTIFS(subscriptions!$A:$A, D89, subscriptions!$M:$M, "Yes")&gt;0, "Fatigued", "Healthy")</f>
        <v>Healthy</v>
      </c>
      <c r="F89">
        <v>3999</v>
      </c>
      <c r="G89">
        <v>333.25</v>
      </c>
    </row>
    <row r="90" spans="4:7" x14ac:dyDescent="0.3">
      <c r="D90" t="s">
        <v>96</v>
      </c>
      <c r="E90" t="str">
        <f>IF(COUNTIFS(subscriptions!$A:$A, D90, subscriptions!$M:$M, "Yes")&gt;0, "Fatigued", "Healthy")</f>
        <v>Healthy</v>
      </c>
      <c r="F90">
        <v>3999</v>
      </c>
      <c r="G90">
        <v>333.25</v>
      </c>
    </row>
    <row r="91" spans="4:7" x14ac:dyDescent="0.3">
      <c r="D91" t="s">
        <v>97</v>
      </c>
      <c r="E91" t="str">
        <f>IF(COUNTIFS(subscriptions!$A:$A, D91, subscriptions!$M:$M, "Yes")&gt;0, "Fatigued", "Healthy")</f>
        <v>Healthy</v>
      </c>
      <c r="F91">
        <v>3999</v>
      </c>
      <c r="G91">
        <v>333.25</v>
      </c>
    </row>
    <row r="92" spans="4:7" x14ac:dyDescent="0.3">
      <c r="D92" t="s">
        <v>98</v>
      </c>
      <c r="E92" t="str">
        <f>IF(COUNTIFS(subscriptions!$A:$A, D92, subscriptions!$M:$M, "Yes")&gt;0, "Fatigued", "Healthy")</f>
        <v>Healthy</v>
      </c>
      <c r="F92">
        <v>3999</v>
      </c>
      <c r="G92">
        <v>333.25</v>
      </c>
    </row>
    <row r="93" spans="4:7" x14ac:dyDescent="0.3">
      <c r="D93" t="s">
        <v>99</v>
      </c>
      <c r="E93" t="str">
        <f>IF(COUNTIFS(subscriptions!$A:$A, D93, subscriptions!$M:$M, "Yes")&gt;0, "Fatigued", "Healthy")</f>
        <v>Healthy</v>
      </c>
      <c r="F93">
        <v>3999</v>
      </c>
      <c r="G93">
        <v>333.25</v>
      </c>
    </row>
    <row r="94" spans="4:7" x14ac:dyDescent="0.3">
      <c r="D94" t="s">
        <v>100</v>
      </c>
      <c r="E94" t="str">
        <f>IF(COUNTIFS(subscriptions!$A:$A, D94, subscriptions!$M:$M, "Yes")&gt;0, "Fatigued", "Healthy")</f>
        <v>Healthy</v>
      </c>
      <c r="F94">
        <v>3999</v>
      </c>
      <c r="G94">
        <v>333.25</v>
      </c>
    </row>
    <row r="95" spans="4:7" x14ac:dyDescent="0.3">
      <c r="D95" t="s">
        <v>101</v>
      </c>
      <c r="E95" t="str">
        <f>IF(COUNTIFS(subscriptions!$A:$A, D95, subscriptions!$M:$M, "Yes")&gt;0, "Fatigued", "Healthy")</f>
        <v>Healthy</v>
      </c>
      <c r="F95">
        <v>3999</v>
      </c>
      <c r="G95">
        <v>333.25</v>
      </c>
    </row>
    <row r="96" spans="4:7" x14ac:dyDescent="0.3">
      <c r="D96" t="s">
        <v>102</v>
      </c>
      <c r="E96" t="str">
        <f>IF(COUNTIFS(subscriptions!$A:$A, D96, subscriptions!$M:$M, "Yes")&gt;0, "Fatigued", "Healthy")</f>
        <v>Healthy</v>
      </c>
      <c r="F96">
        <v>3999</v>
      </c>
      <c r="G96">
        <v>333.25</v>
      </c>
    </row>
    <row r="97" spans="4:7" x14ac:dyDescent="0.3">
      <c r="D97" t="s">
        <v>103</v>
      </c>
      <c r="E97" t="str">
        <f>IF(COUNTIFS(subscriptions!$A:$A, D97, subscriptions!$M:$M, "Yes")&gt;0, "Fatigued", "Healthy")</f>
        <v>Healthy</v>
      </c>
      <c r="F97">
        <v>3999</v>
      </c>
      <c r="G97">
        <v>333.25</v>
      </c>
    </row>
    <row r="98" spans="4:7" x14ac:dyDescent="0.3">
      <c r="D98" t="s">
        <v>104</v>
      </c>
      <c r="E98" t="str">
        <f>IF(COUNTIFS(subscriptions!$A:$A, D98, subscriptions!$M:$M, "Yes")&gt;0, "Fatigued", "Healthy")</f>
        <v>Healthy</v>
      </c>
      <c r="F98">
        <v>3999</v>
      </c>
      <c r="G98">
        <v>333.25</v>
      </c>
    </row>
    <row r="99" spans="4:7" x14ac:dyDescent="0.3">
      <c r="D99" t="s">
        <v>105</v>
      </c>
      <c r="E99" t="str">
        <f>IF(COUNTIFS(subscriptions!$A:$A, D99, subscriptions!$M:$M, "Yes")&gt;0, "Fatigued", "Healthy")</f>
        <v>Healthy</v>
      </c>
      <c r="F99">
        <v>3999</v>
      </c>
      <c r="G99">
        <v>333.25</v>
      </c>
    </row>
    <row r="100" spans="4:7" x14ac:dyDescent="0.3">
      <c r="D100" t="s">
        <v>106</v>
      </c>
      <c r="E100" t="str">
        <f>IF(COUNTIFS(subscriptions!$A:$A, D100, subscriptions!$M:$M, "Yes")&gt;0, "Fatigued", "Healthy")</f>
        <v>Healthy</v>
      </c>
      <c r="F100">
        <v>3999</v>
      </c>
      <c r="G100">
        <v>333.25</v>
      </c>
    </row>
    <row r="101" spans="4:7" x14ac:dyDescent="0.3">
      <c r="D101" t="s">
        <v>107</v>
      </c>
      <c r="E101" t="str">
        <f>IF(COUNTIFS(subscriptions!$A:$A, D101, subscriptions!$M:$M, "Yes")&gt;0, "Fatigued", "Healthy")</f>
        <v>Healthy</v>
      </c>
      <c r="F101">
        <v>3999</v>
      </c>
      <c r="G101">
        <v>333.25</v>
      </c>
    </row>
    <row r="102" spans="4:7" x14ac:dyDescent="0.3">
      <c r="D102" t="s">
        <v>108</v>
      </c>
      <c r="E102" t="str">
        <f>IF(COUNTIFS(subscriptions!$A:$A, D102, subscriptions!$M:$M, "Yes")&gt;0, "Fatigued", "Healthy")</f>
        <v>Healthy</v>
      </c>
      <c r="F102">
        <v>1497</v>
      </c>
      <c r="G102">
        <v>499</v>
      </c>
    </row>
    <row r="103" spans="4:7" x14ac:dyDescent="0.3">
      <c r="D103" t="s">
        <v>109</v>
      </c>
      <c r="E103" t="str">
        <f>IF(COUNTIFS(subscriptions!$A:$A, D103, subscriptions!$M:$M, "Yes")&gt;0, "Fatigued", "Healthy")</f>
        <v>Healthy</v>
      </c>
      <c r="F103">
        <v>1996</v>
      </c>
      <c r="G103">
        <v>499</v>
      </c>
    </row>
    <row r="104" spans="4:7" x14ac:dyDescent="0.3">
      <c r="D104" t="s">
        <v>110</v>
      </c>
      <c r="E104" t="str">
        <f>IF(COUNTIFS(subscriptions!$A:$A, D104, subscriptions!$M:$M, "Yes")&gt;0, "Fatigued", "Healthy")</f>
        <v>Healthy</v>
      </c>
      <c r="F104">
        <v>2495</v>
      </c>
      <c r="G104">
        <v>499</v>
      </c>
    </row>
    <row r="105" spans="4:7" x14ac:dyDescent="0.3">
      <c r="D105" t="s">
        <v>111</v>
      </c>
      <c r="E105" t="str">
        <f>IF(COUNTIFS(subscriptions!$A:$A, D105, subscriptions!$M:$M, "Yes")&gt;0, "Fatigued", "Healthy")</f>
        <v>Healthy</v>
      </c>
      <c r="F105">
        <v>2994</v>
      </c>
      <c r="G105">
        <v>499</v>
      </c>
    </row>
    <row r="106" spans="4:7" x14ac:dyDescent="0.3">
      <c r="D106" t="s">
        <v>112</v>
      </c>
      <c r="E106" t="str">
        <f>IF(COUNTIFS(subscriptions!$A:$A, D106, subscriptions!$M:$M, "Yes")&gt;0, "Fatigued", "Healthy")</f>
        <v>Healthy</v>
      </c>
      <c r="F106">
        <v>798</v>
      </c>
      <c r="G106">
        <v>399</v>
      </c>
    </row>
    <row r="107" spans="4:7" x14ac:dyDescent="0.3">
      <c r="D107" t="s">
        <v>113</v>
      </c>
      <c r="E107" t="str">
        <f>IF(COUNTIFS(subscriptions!$A:$A, D107, subscriptions!$M:$M, "Yes")&gt;0, "Fatigued", "Healthy")</f>
        <v>Healthy</v>
      </c>
      <c r="F107">
        <v>1497</v>
      </c>
      <c r="G107">
        <v>499</v>
      </c>
    </row>
    <row r="108" spans="4:7" x14ac:dyDescent="0.3">
      <c r="D108" t="s">
        <v>114</v>
      </c>
      <c r="E108" t="str">
        <f>IF(COUNTIFS(subscriptions!$A:$A, D108, subscriptions!$M:$M, "Yes")&gt;0, "Fatigued", "Healthy")</f>
        <v>Healthy</v>
      </c>
      <c r="F108">
        <v>1996</v>
      </c>
      <c r="G108">
        <v>499</v>
      </c>
    </row>
    <row r="109" spans="4:7" x14ac:dyDescent="0.3">
      <c r="D109" t="s">
        <v>115</v>
      </c>
      <c r="E109" t="str">
        <f>IF(COUNTIFS(subscriptions!$A:$A, D109, subscriptions!$M:$M, "Yes")&gt;0, "Fatigued", "Healthy")</f>
        <v>Healthy</v>
      </c>
      <c r="F109">
        <v>2495</v>
      </c>
      <c r="G109">
        <v>499</v>
      </c>
    </row>
    <row r="110" spans="4:7" x14ac:dyDescent="0.3">
      <c r="D110" t="s">
        <v>116</v>
      </c>
      <c r="E110" t="str">
        <f>IF(COUNTIFS(subscriptions!$A:$A, D110, subscriptions!$M:$M, "Yes")&gt;0, "Fatigued", "Healthy")</f>
        <v>Healthy</v>
      </c>
      <c r="F110">
        <v>2994</v>
      </c>
      <c r="G110">
        <v>499</v>
      </c>
    </row>
    <row r="111" spans="4:7" x14ac:dyDescent="0.3">
      <c r="D111" t="s">
        <v>117</v>
      </c>
      <c r="E111" t="str">
        <f>IF(COUNTIFS(subscriptions!$A:$A, D111, subscriptions!$M:$M, "Yes")&gt;0, "Fatigued", "Healthy")</f>
        <v>Healthy</v>
      </c>
      <c r="F111">
        <v>998</v>
      </c>
      <c r="G111">
        <v>499</v>
      </c>
    </row>
    <row r="112" spans="4:7" x14ac:dyDescent="0.3">
      <c r="D112" t="s">
        <v>118</v>
      </c>
      <c r="E112" t="str">
        <f>IF(COUNTIFS(subscriptions!$A:$A, D112, subscriptions!$M:$M, "Yes")&gt;0, "Fatigued", "Healthy")</f>
        <v>Healthy</v>
      </c>
      <c r="F112">
        <v>1497</v>
      </c>
      <c r="G112">
        <v>499</v>
      </c>
    </row>
    <row r="113" spans="4:7" x14ac:dyDescent="0.3">
      <c r="D113" t="s">
        <v>119</v>
      </c>
      <c r="E113" t="str">
        <f>IF(COUNTIFS(subscriptions!$A:$A, D113, subscriptions!$M:$M, "Yes")&gt;0, "Fatigued", "Healthy")</f>
        <v>Healthy</v>
      </c>
      <c r="F113">
        <v>1796</v>
      </c>
      <c r="G113">
        <v>449</v>
      </c>
    </row>
    <row r="114" spans="4:7" x14ac:dyDescent="0.3">
      <c r="D114" t="s">
        <v>120</v>
      </c>
      <c r="E114" t="str">
        <f>IF(COUNTIFS(subscriptions!$A:$A, D114, subscriptions!$M:$M, "Yes")&gt;0, "Fatigued", "Healthy")</f>
        <v>Healthy</v>
      </c>
      <c r="F114">
        <v>2495</v>
      </c>
      <c r="G114">
        <v>499</v>
      </c>
    </row>
    <row r="115" spans="4:7" x14ac:dyDescent="0.3">
      <c r="D115" t="s">
        <v>121</v>
      </c>
      <c r="E115" t="str">
        <f>IF(COUNTIFS(subscriptions!$A:$A, D115, subscriptions!$M:$M, "Yes")&gt;0, "Fatigued", "Healthy")</f>
        <v>Healthy</v>
      </c>
      <c r="F115">
        <v>2994</v>
      </c>
      <c r="G115">
        <v>499</v>
      </c>
    </row>
    <row r="116" spans="4:7" x14ac:dyDescent="0.3">
      <c r="D116" t="s">
        <v>122</v>
      </c>
      <c r="E116" t="str">
        <f>IF(COUNTIFS(subscriptions!$A:$A, D116, subscriptions!$M:$M, "Yes")&gt;0, "Fatigued", "Healthy")</f>
        <v>Healthy</v>
      </c>
      <c r="F116">
        <v>998</v>
      </c>
      <c r="G116">
        <v>499</v>
      </c>
    </row>
    <row r="117" spans="4:7" x14ac:dyDescent="0.3">
      <c r="D117" t="s">
        <v>123</v>
      </c>
      <c r="E117" t="str">
        <f>IF(COUNTIFS(subscriptions!$A:$A, D117, subscriptions!$M:$M, "Yes")&gt;0, "Fatigued", "Healthy")</f>
        <v>Healthy</v>
      </c>
      <c r="F117">
        <v>1497</v>
      </c>
      <c r="G117">
        <v>499</v>
      </c>
    </row>
    <row r="118" spans="4:7" x14ac:dyDescent="0.3">
      <c r="D118" t="s">
        <v>124</v>
      </c>
      <c r="E118" t="str">
        <f>IF(COUNTIFS(subscriptions!$A:$A, D118, subscriptions!$M:$M, "Yes")&gt;0, "Fatigued", "Healthy")</f>
        <v>Healthy</v>
      </c>
      <c r="F118">
        <v>1996</v>
      </c>
      <c r="G118">
        <v>499</v>
      </c>
    </row>
    <row r="119" spans="4:7" x14ac:dyDescent="0.3">
      <c r="D119" t="s">
        <v>125</v>
      </c>
      <c r="E119" t="str">
        <f>IF(COUNTIFS(subscriptions!$A:$A, D119, subscriptions!$M:$M, "Yes")&gt;0, "Fatigued", "Healthy")</f>
        <v>Healthy</v>
      </c>
      <c r="F119">
        <v>2495</v>
      </c>
      <c r="G119">
        <v>499</v>
      </c>
    </row>
    <row r="120" spans="4:7" x14ac:dyDescent="0.3">
      <c r="D120" t="s">
        <v>126</v>
      </c>
      <c r="E120" t="str">
        <f>IF(COUNTIFS(subscriptions!$A:$A, D120, subscriptions!$M:$M, "Yes")&gt;0, "Fatigued", "Healthy")</f>
        <v>Healthy</v>
      </c>
      <c r="F120">
        <v>2794</v>
      </c>
      <c r="G120">
        <v>465.67</v>
      </c>
    </row>
    <row r="121" spans="4:7" x14ac:dyDescent="0.3">
      <c r="D121" t="s">
        <v>127</v>
      </c>
      <c r="E121" t="str">
        <f>IF(COUNTIFS(subscriptions!$A:$A, D121, subscriptions!$M:$M, "Yes")&gt;0, "Fatigued", "Healthy")</f>
        <v>Healthy</v>
      </c>
      <c r="F121">
        <v>998</v>
      </c>
      <c r="G121">
        <v>499</v>
      </c>
    </row>
    <row r="122" spans="4:7" x14ac:dyDescent="0.3">
      <c r="D122" t="s">
        <v>128</v>
      </c>
      <c r="E122" t="str">
        <f>IF(COUNTIFS(subscriptions!$A:$A, D122, subscriptions!$M:$M, "Yes")&gt;0, "Fatigued", "Healthy")</f>
        <v>Healthy</v>
      </c>
      <c r="F122">
        <v>1497</v>
      </c>
      <c r="G122">
        <v>499</v>
      </c>
    </row>
    <row r="123" spans="4:7" x14ac:dyDescent="0.3">
      <c r="D123" t="s">
        <v>129</v>
      </c>
      <c r="E123" t="str">
        <f>IF(COUNTIFS(subscriptions!$A:$A, D123, subscriptions!$M:$M, "Yes")&gt;0, "Fatigued", "Healthy")</f>
        <v>Healthy</v>
      </c>
      <c r="F123">
        <v>1996</v>
      </c>
      <c r="G123">
        <v>499</v>
      </c>
    </row>
    <row r="124" spans="4:7" x14ac:dyDescent="0.3">
      <c r="D124" t="s">
        <v>130</v>
      </c>
      <c r="E124" t="str">
        <f>IF(COUNTIFS(subscriptions!$A:$A, D124, subscriptions!$M:$M, "Yes")&gt;0, "Fatigued", "Healthy")</f>
        <v>Healthy</v>
      </c>
      <c r="F124">
        <v>2495</v>
      </c>
      <c r="G124">
        <v>499</v>
      </c>
    </row>
    <row r="125" spans="4:7" x14ac:dyDescent="0.3">
      <c r="D125" t="s">
        <v>131</v>
      </c>
      <c r="E125" t="str">
        <f>IF(COUNTIFS(subscriptions!$A:$A, D125, subscriptions!$M:$M, "Yes")&gt;0, "Fatigued", "Healthy")</f>
        <v>Healthy</v>
      </c>
      <c r="F125">
        <v>2994</v>
      </c>
      <c r="G125">
        <v>499</v>
      </c>
    </row>
    <row r="126" spans="4:7" x14ac:dyDescent="0.3">
      <c r="D126" t="s">
        <v>132</v>
      </c>
      <c r="E126" t="str">
        <f>IF(COUNTIFS(subscriptions!$A:$A, D126, subscriptions!$M:$M, "Yes")&gt;0, "Fatigued", "Healthy")</f>
        <v>Healthy</v>
      </c>
      <c r="F126">
        <v>998</v>
      </c>
      <c r="G126">
        <v>499</v>
      </c>
    </row>
    <row r="127" spans="4:7" x14ac:dyDescent="0.3">
      <c r="D127" t="s">
        <v>133</v>
      </c>
      <c r="E127" t="str">
        <f>IF(COUNTIFS(subscriptions!$A:$A, D127, subscriptions!$M:$M, "Yes")&gt;0, "Fatigued", "Healthy")</f>
        <v>Healthy</v>
      </c>
      <c r="F127">
        <v>1297</v>
      </c>
      <c r="G127">
        <v>432.33</v>
      </c>
    </row>
    <row r="128" spans="4:7" x14ac:dyDescent="0.3">
      <c r="D128" t="s">
        <v>134</v>
      </c>
      <c r="E128" t="str">
        <f>IF(COUNTIFS(subscriptions!$A:$A, D128, subscriptions!$M:$M, "Yes")&gt;0, "Fatigued", "Healthy")</f>
        <v>Healthy</v>
      </c>
      <c r="F128">
        <v>1996</v>
      </c>
      <c r="G128">
        <v>499</v>
      </c>
    </row>
    <row r="129" spans="4:7" x14ac:dyDescent="0.3">
      <c r="D129" t="s">
        <v>135</v>
      </c>
      <c r="E129" t="str">
        <f>IF(COUNTIFS(subscriptions!$A:$A, D129, subscriptions!$M:$M, "Yes")&gt;0, "Fatigued", "Healthy")</f>
        <v>Healthy</v>
      </c>
      <c r="F129">
        <v>2495</v>
      </c>
      <c r="G129">
        <v>499</v>
      </c>
    </row>
    <row r="130" spans="4:7" x14ac:dyDescent="0.3">
      <c r="D130" t="s">
        <v>136</v>
      </c>
      <c r="E130" t="str">
        <f>IF(COUNTIFS(subscriptions!$A:$A, D130, subscriptions!$M:$M, "Yes")&gt;0, "Fatigued", "Healthy")</f>
        <v>Healthy</v>
      </c>
      <c r="F130">
        <v>2994</v>
      </c>
      <c r="G130">
        <v>499</v>
      </c>
    </row>
    <row r="131" spans="4:7" x14ac:dyDescent="0.3">
      <c r="D131" t="s">
        <v>137</v>
      </c>
      <c r="E131" t="str">
        <f>IF(COUNTIFS(subscriptions!$A:$A, D131, subscriptions!$M:$M, "Yes")&gt;0, "Fatigued", "Healthy")</f>
        <v>Healthy</v>
      </c>
      <c r="F131">
        <v>998</v>
      </c>
      <c r="G131">
        <v>499</v>
      </c>
    </row>
    <row r="132" spans="4:7" x14ac:dyDescent="0.3">
      <c r="D132" t="s">
        <v>138</v>
      </c>
      <c r="E132" t="str">
        <f>IF(COUNTIFS(subscriptions!$A:$A, D132, subscriptions!$M:$M, "Yes")&gt;0, "Fatigued", "Healthy")</f>
        <v>Healthy</v>
      </c>
      <c r="F132">
        <v>1497</v>
      </c>
      <c r="G132">
        <v>499</v>
      </c>
    </row>
    <row r="133" spans="4:7" x14ac:dyDescent="0.3">
      <c r="D133" t="s">
        <v>139</v>
      </c>
      <c r="E133" t="str">
        <f>IF(COUNTIFS(subscriptions!$A:$A, D133, subscriptions!$M:$M, "Yes")&gt;0, "Fatigued", "Healthy")</f>
        <v>Healthy</v>
      </c>
      <c r="F133">
        <v>1996</v>
      </c>
      <c r="G133">
        <v>499</v>
      </c>
    </row>
    <row r="134" spans="4:7" x14ac:dyDescent="0.3">
      <c r="D134" t="s">
        <v>140</v>
      </c>
      <c r="E134" t="str">
        <f>IF(COUNTIFS(subscriptions!$A:$A, D134, subscriptions!$M:$M, "Yes")&gt;0, "Fatigued", "Healthy")</f>
        <v>Healthy</v>
      </c>
      <c r="F134">
        <v>2295</v>
      </c>
      <c r="G134">
        <v>459</v>
      </c>
    </row>
    <row r="135" spans="4:7" x14ac:dyDescent="0.3">
      <c r="D135" t="s">
        <v>141</v>
      </c>
      <c r="E135" t="str">
        <f>IF(COUNTIFS(subscriptions!$A:$A, D135, subscriptions!$M:$M, "Yes")&gt;0, "Fatigued", "Healthy")</f>
        <v>Healthy</v>
      </c>
      <c r="F135">
        <v>2994</v>
      </c>
      <c r="G135">
        <v>499</v>
      </c>
    </row>
    <row r="136" spans="4:7" x14ac:dyDescent="0.3">
      <c r="D136" t="s">
        <v>142</v>
      </c>
      <c r="E136" t="str">
        <f>IF(COUNTIFS(subscriptions!$A:$A, D136, subscriptions!$M:$M, "Yes")&gt;0, "Fatigued", "Healthy")</f>
        <v>Healthy</v>
      </c>
      <c r="F136">
        <v>998</v>
      </c>
      <c r="G136">
        <v>499</v>
      </c>
    </row>
    <row r="137" spans="4:7" x14ac:dyDescent="0.3">
      <c r="D137" t="s">
        <v>143</v>
      </c>
      <c r="E137" t="str">
        <f>IF(COUNTIFS(subscriptions!$A:$A, D137, subscriptions!$M:$M, "Yes")&gt;0, "Fatigued", "Healthy")</f>
        <v>Healthy</v>
      </c>
      <c r="F137">
        <v>1497</v>
      </c>
      <c r="G137">
        <v>499</v>
      </c>
    </row>
    <row r="138" spans="4:7" x14ac:dyDescent="0.3">
      <c r="D138" t="s">
        <v>144</v>
      </c>
      <c r="E138" t="str">
        <f>IF(COUNTIFS(subscriptions!$A:$A, D138, subscriptions!$M:$M, "Yes")&gt;0, "Fatigued", "Healthy")</f>
        <v>Healthy</v>
      </c>
      <c r="F138">
        <v>1996</v>
      </c>
      <c r="G138">
        <v>499</v>
      </c>
    </row>
    <row r="139" spans="4:7" x14ac:dyDescent="0.3">
      <c r="D139" t="s">
        <v>145</v>
      </c>
      <c r="E139" t="str">
        <f>IF(COUNTIFS(subscriptions!$A:$A, D139, subscriptions!$M:$M, "Yes")&gt;0, "Fatigued", "Healthy")</f>
        <v>Healthy</v>
      </c>
      <c r="F139">
        <v>2495</v>
      </c>
      <c r="G139">
        <v>499</v>
      </c>
    </row>
    <row r="140" spans="4:7" x14ac:dyDescent="0.3">
      <c r="D140" t="s">
        <v>146</v>
      </c>
      <c r="E140" t="str">
        <f>IF(COUNTIFS(subscriptions!$A:$A, D140, subscriptions!$M:$M, "Yes")&gt;0, "Fatigued", "Healthy")</f>
        <v>Healthy</v>
      </c>
      <c r="F140">
        <v>2994</v>
      </c>
      <c r="G140">
        <v>499</v>
      </c>
    </row>
    <row r="141" spans="4:7" x14ac:dyDescent="0.3">
      <c r="D141" t="s">
        <v>147</v>
      </c>
      <c r="E141" t="str">
        <f>IF(COUNTIFS(subscriptions!$A:$A, D141, subscriptions!$M:$M, "Yes")&gt;0, "Fatigued", "Healthy")</f>
        <v>Healthy</v>
      </c>
      <c r="F141">
        <v>798</v>
      </c>
      <c r="G141">
        <v>399</v>
      </c>
    </row>
    <row r="142" spans="4:7" x14ac:dyDescent="0.3">
      <c r="D142" t="s">
        <v>148</v>
      </c>
      <c r="E142" t="str">
        <f>IF(COUNTIFS(subscriptions!$A:$A, D142, subscriptions!$M:$M, "Yes")&gt;0, "Fatigued", "Healthy")</f>
        <v>Healthy</v>
      </c>
      <c r="F142">
        <v>1497</v>
      </c>
      <c r="G142">
        <v>499</v>
      </c>
    </row>
    <row r="143" spans="4:7" x14ac:dyDescent="0.3">
      <c r="D143" t="s">
        <v>149</v>
      </c>
      <c r="E143" t="str">
        <f>IF(COUNTIFS(subscriptions!$A:$A, D143, subscriptions!$M:$M, "Yes")&gt;0, "Fatigued", "Healthy")</f>
        <v>Healthy</v>
      </c>
      <c r="F143">
        <v>1996</v>
      </c>
      <c r="G143">
        <v>499</v>
      </c>
    </row>
    <row r="144" spans="4:7" x14ac:dyDescent="0.3">
      <c r="D144" t="s">
        <v>150</v>
      </c>
      <c r="E144" t="str">
        <f>IF(COUNTIFS(subscriptions!$A:$A, D144, subscriptions!$M:$M, "Yes")&gt;0, "Fatigued", "Healthy")</f>
        <v>Healthy</v>
      </c>
      <c r="F144">
        <v>2495</v>
      </c>
      <c r="G144">
        <v>499</v>
      </c>
    </row>
    <row r="145" spans="4:7" x14ac:dyDescent="0.3">
      <c r="D145" t="s">
        <v>151</v>
      </c>
      <c r="E145" t="str">
        <f>IF(COUNTIFS(subscriptions!$A:$A, D145, subscriptions!$M:$M, "Yes")&gt;0, "Fatigued", "Healthy")</f>
        <v>Healthy</v>
      </c>
      <c r="F145">
        <v>2994</v>
      </c>
      <c r="G145">
        <v>499</v>
      </c>
    </row>
    <row r="146" spans="4:7" x14ac:dyDescent="0.3">
      <c r="D146" t="s">
        <v>152</v>
      </c>
      <c r="E146" t="str">
        <f>IF(COUNTIFS(subscriptions!$A:$A, D146, subscriptions!$M:$M, "Yes")&gt;0, "Fatigued", "Healthy")</f>
        <v>Healthy</v>
      </c>
      <c r="F146">
        <v>998</v>
      </c>
      <c r="G146">
        <v>499</v>
      </c>
    </row>
    <row r="147" spans="4:7" x14ac:dyDescent="0.3">
      <c r="D147" t="s">
        <v>153</v>
      </c>
      <c r="E147" t="str">
        <f>IF(COUNTIFS(subscriptions!$A:$A, D147, subscriptions!$M:$M, "Yes")&gt;0, "Fatigued", "Healthy")</f>
        <v>Healthy</v>
      </c>
      <c r="F147">
        <v>1497</v>
      </c>
      <c r="G147">
        <v>499</v>
      </c>
    </row>
    <row r="148" spans="4:7" x14ac:dyDescent="0.3">
      <c r="D148" t="s">
        <v>154</v>
      </c>
      <c r="E148" t="str">
        <f>IF(COUNTIFS(subscriptions!$A:$A, D148, subscriptions!$M:$M, "Yes")&gt;0, "Fatigued", "Healthy")</f>
        <v>Healthy</v>
      </c>
      <c r="F148">
        <v>1796</v>
      </c>
      <c r="G148">
        <v>449</v>
      </c>
    </row>
    <row r="149" spans="4:7" x14ac:dyDescent="0.3">
      <c r="D149" t="s">
        <v>155</v>
      </c>
      <c r="E149" t="str">
        <f>IF(COUNTIFS(subscriptions!$A:$A, D149, subscriptions!$M:$M, "Yes")&gt;0, "Fatigued", "Healthy")</f>
        <v>Healthy</v>
      </c>
      <c r="F149">
        <v>2495</v>
      </c>
      <c r="G149">
        <v>499</v>
      </c>
    </row>
    <row r="150" spans="4:7" x14ac:dyDescent="0.3">
      <c r="D150" t="s">
        <v>156</v>
      </c>
      <c r="E150" t="str">
        <f>IF(COUNTIFS(subscriptions!$A:$A, D150, subscriptions!$M:$M, "Yes")&gt;0, "Fatigued", "Healthy")</f>
        <v>Healthy</v>
      </c>
      <c r="F150">
        <v>2994</v>
      </c>
      <c r="G150">
        <v>499</v>
      </c>
    </row>
    <row r="151" spans="4:7" x14ac:dyDescent="0.3">
      <c r="D151" t="s">
        <v>157</v>
      </c>
      <c r="E151" t="str">
        <f>IF(COUNTIFS(subscriptions!$A:$A, D151, subscriptions!$M:$M, "Yes")&gt;0, "Fatigued", "Healthy")</f>
        <v>Healthy</v>
      </c>
      <c r="F151">
        <v>998</v>
      </c>
      <c r="G151">
        <v>499</v>
      </c>
    </row>
    <row r="152" spans="4:7" x14ac:dyDescent="0.3">
      <c r="D152" t="s">
        <v>158</v>
      </c>
      <c r="E152" t="str">
        <f>IF(COUNTIFS(subscriptions!$A:$A, D152, subscriptions!$M:$M, "Yes")&gt;0, "Fatigued", "Healthy")</f>
        <v>Healthy</v>
      </c>
      <c r="F152">
        <v>1497</v>
      </c>
      <c r="G152">
        <v>499</v>
      </c>
    </row>
    <row r="153" spans="4:7" x14ac:dyDescent="0.3">
      <c r="D153" t="s">
        <v>159</v>
      </c>
      <c r="E153" t="str">
        <f>IF(COUNTIFS(subscriptions!$A:$A, D153, subscriptions!$M:$M, "Yes")&gt;0, "Fatigued", "Healthy")</f>
        <v>Healthy</v>
      </c>
      <c r="F153">
        <v>1996</v>
      </c>
      <c r="G153">
        <v>499</v>
      </c>
    </row>
    <row r="154" spans="4:7" x14ac:dyDescent="0.3">
      <c r="D154" t="s">
        <v>160</v>
      </c>
      <c r="E154" t="str">
        <f>IF(COUNTIFS(subscriptions!$A:$A, D154, subscriptions!$M:$M, "Yes")&gt;0, "Fatigued", "Healthy")</f>
        <v>Healthy</v>
      </c>
      <c r="F154">
        <v>2495</v>
      </c>
      <c r="G154">
        <v>499</v>
      </c>
    </row>
    <row r="155" spans="4:7" x14ac:dyDescent="0.3">
      <c r="D155" t="s">
        <v>161</v>
      </c>
      <c r="E155" t="str">
        <f>IF(COUNTIFS(subscriptions!$A:$A, D155, subscriptions!$M:$M, "Yes")&gt;0, "Fatigued", "Healthy")</f>
        <v>Healthy</v>
      </c>
      <c r="F155">
        <v>2794</v>
      </c>
      <c r="G155">
        <v>465.67</v>
      </c>
    </row>
    <row r="156" spans="4:7" x14ac:dyDescent="0.3">
      <c r="D156" t="s">
        <v>162</v>
      </c>
      <c r="E156" t="str">
        <f>IF(COUNTIFS(subscriptions!$A:$A, D156, subscriptions!$M:$M, "Yes")&gt;0, "Fatigued", "Healthy")</f>
        <v>Healthy</v>
      </c>
      <c r="F156">
        <v>998</v>
      </c>
      <c r="G156">
        <v>499</v>
      </c>
    </row>
    <row r="157" spans="4:7" x14ac:dyDescent="0.3">
      <c r="D157" t="s">
        <v>163</v>
      </c>
      <c r="E157" t="str">
        <f>IF(COUNTIFS(subscriptions!$A:$A, D157, subscriptions!$M:$M, "Yes")&gt;0, "Fatigued", "Healthy")</f>
        <v>Healthy</v>
      </c>
      <c r="F157">
        <v>1497</v>
      </c>
      <c r="G157">
        <v>499</v>
      </c>
    </row>
    <row r="158" spans="4:7" x14ac:dyDescent="0.3">
      <c r="D158" t="s">
        <v>164</v>
      </c>
      <c r="E158" t="str">
        <f>IF(COUNTIFS(subscriptions!$A:$A, D158, subscriptions!$M:$M, "Yes")&gt;0, "Fatigued", "Healthy")</f>
        <v>Healthy</v>
      </c>
      <c r="F158">
        <v>1996</v>
      </c>
      <c r="G158">
        <v>499</v>
      </c>
    </row>
    <row r="159" spans="4:7" x14ac:dyDescent="0.3">
      <c r="D159" t="s">
        <v>165</v>
      </c>
      <c r="E159" t="str">
        <f>IF(COUNTIFS(subscriptions!$A:$A, D159, subscriptions!$M:$M, "Yes")&gt;0, "Fatigued", "Healthy")</f>
        <v>Healthy</v>
      </c>
      <c r="F159">
        <v>2495</v>
      </c>
      <c r="G159">
        <v>499</v>
      </c>
    </row>
    <row r="160" spans="4:7" x14ac:dyDescent="0.3">
      <c r="D160" t="s">
        <v>166</v>
      </c>
      <c r="E160" t="str">
        <f>IF(COUNTIFS(subscriptions!$A:$A, D160, subscriptions!$M:$M, "Yes")&gt;0, "Fatigued", "Healthy")</f>
        <v>Healthy</v>
      </c>
      <c r="F160">
        <v>2994</v>
      </c>
      <c r="G160">
        <v>499</v>
      </c>
    </row>
    <row r="161" spans="4:7" x14ac:dyDescent="0.3">
      <c r="D161" t="s">
        <v>167</v>
      </c>
      <c r="E161" t="str">
        <f>IF(COUNTIFS(subscriptions!$A:$A, D161, subscriptions!$M:$M, "Yes")&gt;0, "Fatigued", "Healthy")</f>
        <v>Healthy</v>
      </c>
      <c r="F161">
        <v>998</v>
      </c>
      <c r="G161">
        <v>499</v>
      </c>
    </row>
    <row r="162" spans="4:7" x14ac:dyDescent="0.3">
      <c r="D162" t="s">
        <v>168</v>
      </c>
      <c r="E162" t="str">
        <f>IF(COUNTIFS(subscriptions!$A:$A, D162, subscriptions!$M:$M, "Yes")&gt;0, "Fatigued", "Healthy")</f>
        <v>Healthy</v>
      </c>
      <c r="F162">
        <v>1297</v>
      </c>
      <c r="G162">
        <v>432.33</v>
      </c>
    </row>
    <row r="163" spans="4:7" x14ac:dyDescent="0.3">
      <c r="D163" t="s">
        <v>169</v>
      </c>
      <c r="E163" t="str">
        <f>IF(COUNTIFS(subscriptions!$A:$A, D163, subscriptions!$M:$M, "Yes")&gt;0, "Fatigued", "Healthy")</f>
        <v>Healthy</v>
      </c>
      <c r="F163">
        <v>1996</v>
      </c>
      <c r="G163">
        <v>499</v>
      </c>
    </row>
    <row r="164" spans="4:7" x14ac:dyDescent="0.3">
      <c r="D164" t="s">
        <v>170</v>
      </c>
      <c r="E164" t="str">
        <f>IF(COUNTIFS(subscriptions!$A:$A, D164, subscriptions!$M:$M, "Yes")&gt;0, "Fatigued", "Healthy")</f>
        <v>Healthy</v>
      </c>
      <c r="F164">
        <v>2495</v>
      </c>
      <c r="G164">
        <v>499</v>
      </c>
    </row>
    <row r="165" spans="4:7" x14ac:dyDescent="0.3">
      <c r="D165" t="s">
        <v>171</v>
      </c>
      <c r="E165" t="str">
        <f>IF(COUNTIFS(subscriptions!$A:$A, D165, subscriptions!$M:$M, "Yes")&gt;0, "Fatigued", "Healthy")</f>
        <v>Healthy</v>
      </c>
      <c r="F165">
        <v>2994</v>
      </c>
      <c r="G165">
        <v>499</v>
      </c>
    </row>
    <row r="166" spans="4:7" x14ac:dyDescent="0.3">
      <c r="D166" t="s">
        <v>172</v>
      </c>
      <c r="E166" t="str">
        <f>IF(COUNTIFS(subscriptions!$A:$A, D166, subscriptions!$M:$M, "Yes")&gt;0, "Fatigued", "Healthy")</f>
        <v>Healthy</v>
      </c>
      <c r="F166">
        <v>998</v>
      </c>
      <c r="G166">
        <v>499</v>
      </c>
    </row>
    <row r="167" spans="4:7" x14ac:dyDescent="0.3">
      <c r="D167" t="s">
        <v>173</v>
      </c>
      <c r="E167" t="str">
        <f>IF(COUNTIFS(subscriptions!$A:$A, D167, subscriptions!$M:$M, "Yes")&gt;0, "Fatigued", "Healthy")</f>
        <v>Healthy</v>
      </c>
      <c r="F167">
        <v>1497</v>
      </c>
      <c r="G167">
        <v>499</v>
      </c>
    </row>
    <row r="168" spans="4:7" x14ac:dyDescent="0.3">
      <c r="D168" t="s">
        <v>174</v>
      </c>
      <c r="E168" t="str">
        <f>IF(COUNTIFS(subscriptions!$A:$A, D168, subscriptions!$M:$M, "Yes")&gt;0, "Fatigued", "Healthy")</f>
        <v>Healthy</v>
      </c>
      <c r="F168">
        <v>1996</v>
      </c>
      <c r="G168">
        <v>499</v>
      </c>
    </row>
    <row r="169" spans="4:7" x14ac:dyDescent="0.3">
      <c r="D169" t="s">
        <v>175</v>
      </c>
      <c r="E169" t="str">
        <f>IF(COUNTIFS(subscriptions!$A:$A, D169, subscriptions!$M:$M, "Yes")&gt;0, "Fatigued", "Healthy")</f>
        <v>Healthy</v>
      </c>
      <c r="F169">
        <v>2295</v>
      </c>
      <c r="G169">
        <v>459</v>
      </c>
    </row>
    <row r="170" spans="4:7" x14ac:dyDescent="0.3">
      <c r="D170" t="s">
        <v>176</v>
      </c>
      <c r="E170" t="str">
        <f>IF(COUNTIFS(subscriptions!$A:$A, D170, subscriptions!$M:$M, "Yes")&gt;0, "Fatigued", "Healthy")</f>
        <v>Healthy</v>
      </c>
      <c r="F170">
        <v>2994</v>
      </c>
      <c r="G170">
        <v>499</v>
      </c>
    </row>
    <row r="171" spans="4:7" x14ac:dyDescent="0.3">
      <c r="D171" t="s">
        <v>177</v>
      </c>
      <c r="E171" t="str">
        <f>IF(COUNTIFS(subscriptions!$A:$A, D171, subscriptions!$M:$M, "Yes")&gt;0, "Fatigued", "Healthy")</f>
        <v>Healthy</v>
      </c>
      <c r="F171">
        <v>998</v>
      </c>
      <c r="G171">
        <v>499</v>
      </c>
    </row>
    <row r="172" spans="4:7" x14ac:dyDescent="0.3">
      <c r="D172" t="s">
        <v>178</v>
      </c>
      <c r="E172" t="str">
        <f>IF(COUNTIFS(subscriptions!$A:$A, D172, subscriptions!$M:$M, "Yes")&gt;0, "Fatigued", "Healthy")</f>
        <v>Healthy</v>
      </c>
      <c r="F172">
        <v>3999</v>
      </c>
      <c r="G172">
        <v>333.25</v>
      </c>
    </row>
    <row r="173" spans="4:7" x14ac:dyDescent="0.3">
      <c r="D173" t="s">
        <v>179</v>
      </c>
      <c r="E173" t="str">
        <f>IF(COUNTIFS(subscriptions!$A:$A, D173, subscriptions!$M:$M, "Yes")&gt;0, "Fatigued", "Healthy")</f>
        <v>Healthy</v>
      </c>
      <c r="F173">
        <v>3999</v>
      </c>
      <c r="G173">
        <v>333.25</v>
      </c>
    </row>
    <row r="174" spans="4:7" x14ac:dyDescent="0.3">
      <c r="D174" t="s">
        <v>180</v>
      </c>
      <c r="E174" t="str">
        <f>IF(COUNTIFS(subscriptions!$A:$A, D174, subscriptions!$M:$M, "Yes")&gt;0, "Fatigued", "Healthy")</f>
        <v>Healthy</v>
      </c>
      <c r="F174">
        <v>3999</v>
      </c>
      <c r="G174">
        <v>333.25</v>
      </c>
    </row>
    <row r="175" spans="4:7" x14ac:dyDescent="0.3">
      <c r="D175" t="s">
        <v>181</v>
      </c>
      <c r="E175" t="str">
        <f>IF(COUNTIFS(subscriptions!$A:$A, D175, subscriptions!$M:$M, "Yes")&gt;0, "Fatigued", "Healthy")</f>
        <v>Healthy</v>
      </c>
      <c r="F175">
        <v>3999</v>
      </c>
      <c r="G175">
        <v>333.25</v>
      </c>
    </row>
    <row r="176" spans="4:7" x14ac:dyDescent="0.3">
      <c r="D176" t="s">
        <v>182</v>
      </c>
      <c r="E176" t="str">
        <f>IF(COUNTIFS(subscriptions!$A:$A, D176, subscriptions!$M:$M, "Yes")&gt;0, "Fatigued", "Healthy")</f>
        <v>Healthy</v>
      </c>
      <c r="F176">
        <v>3999</v>
      </c>
      <c r="G176">
        <v>333.25</v>
      </c>
    </row>
    <row r="177" spans="4:7" x14ac:dyDescent="0.3">
      <c r="D177" t="s">
        <v>183</v>
      </c>
      <c r="E177" t="str">
        <f>IF(COUNTIFS(subscriptions!$A:$A, D177, subscriptions!$M:$M, "Yes")&gt;0, "Fatigued", "Healthy")</f>
        <v>Healthy</v>
      </c>
      <c r="F177">
        <v>3999</v>
      </c>
      <c r="G177">
        <v>333.25</v>
      </c>
    </row>
    <row r="178" spans="4:7" x14ac:dyDescent="0.3">
      <c r="D178" t="s">
        <v>184</v>
      </c>
      <c r="E178" t="str">
        <f>IF(COUNTIFS(subscriptions!$A:$A, D178, subscriptions!$M:$M, "Yes")&gt;0, "Fatigued", "Healthy")</f>
        <v>Healthy</v>
      </c>
      <c r="F178">
        <v>3999</v>
      </c>
      <c r="G178">
        <v>333.25</v>
      </c>
    </row>
    <row r="179" spans="4:7" x14ac:dyDescent="0.3">
      <c r="D179" t="s">
        <v>185</v>
      </c>
      <c r="E179" t="str">
        <f>IF(COUNTIFS(subscriptions!$A:$A, D179, subscriptions!$M:$M, "Yes")&gt;0, "Fatigued", "Healthy")</f>
        <v>Healthy</v>
      </c>
      <c r="F179">
        <v>3999</v>
      </c>
      <c r="G179">
        <v>333.25</v>
      </c>
    </row>
    <row r="180" spans="4:7" x14ac:dyDescent="0.3">
      <c r="D180" t="s">
        <v>186</v>
      </c>
      <c r="E180" t="str">
        <f>IF(COUNTIFS(subscriptions!$A:$A, D180, subscriptions!$M:$M, "Yes")&gt;0, "Fatigued", "Healthy")</f>
        <v>Healthy</v>
      </c>
      <c r="F180">
        <v>3999</v>
      </c>
      <c r="G180">
        <v>333.25</v>
      </c>
    </row>
    <row r="181" spans="4:7" x14ac:dyDescent="0.3">
      <c r="D181" t="s">
        <v>187</v>
      </c>
      <c r="E181" t="str">
        <f>IF(COUNTIFS(subscriptions!$A:$A, D181, subscriptions!$M:$M, "Yes")&gt;0, "Fatigued", "Healthy")</f>
        <v>Healthy</v>
      </c>
      <c r="F181">
        <v>3999</v>
      </c>
      <c r="G181">
        <v>333.25</v>
      </c>
    </row>
    <row r="182" spans="4:7" x14ac:dyDescent="0.3">
      <c r="D182" t="s">
        <v>188</v>
      </c>
      <c r="E182" t="str">
        <f>IF(COUNTIFS(subscriptions!$A:$A, D182, subscriptions!$M:$M, "Yes")&gt;0, "Fatigued", "Healthy")</f>
        <v>Healthy</v>
      </c>
      <c r="F182">
        <v>3999</v>
      </c>
      <c r="G182">
        <v>333.25</v>
      </c>
    </row>
    <row r="183" spans="4:7" x14ac:dyDescent="0.3">
      <c r="D183" t="s">
        <v>189</v>
      </c>
      <c r="E183" t="str">
        <f>IF(COUNTIFS(subscriptions!$A:$A, D183, subscriptions!$M:$M, "Yes")&gt;0, "Fatigued", "Healthy")</f>
        <v>Healthy</v>
      </c>
      <c r="F183">
        <v>3999</v>
      </c>
      <c r="G183">
        <v>333.25</v>
      </c>
    </row>
    <row r="184" spans="4:7" x14ac:dyDescent="0.3">
      <c r="D184" t="s">
        <v>190</v>
      </c>
      <c r="E184" t="str">
        <f>IF(COUNTIFS(subscriptions!$A:$A, D184, subscriptions!$M:$M, "Yes")&gt;0, "Fatigued", "Healthy")</f>
        <v>Healthy</v>
      </c>
      <c r="F184">
        <v>3999</v>
      </c>
      <c r="G184">
        <v>333.25</v>
      </c>
    </row>
    <row r="185" spans="4:7" x14ac:dyDescent="0.3">
      <c r="D185" t="s">
        <v>191</v>
      </c>
      <c r="E185" t="str">
        <f>IF(COUNTIFS(subscriptions!$A:$A, D185, subscriptions!$M:$M, "Yes")&gt;0, "Fatigued", "Healthy")</f>
        <v>Healthy</v>
      </c>
      <c r="F185">
        <v>3999</v>
      </c>
      <c r="G185">
        <v>333.25</v>
      </c>
    </row>
    <row r="186" spans="4:7" x14ac:dyDescent="0.3">
      <c r="D186" t="s">
        <v>192</v>
      </c>
      <c r="E186" t="str">
        <f>IF(COUNTIFS(subscriptions!$A:$A, D186, subscriptions!$M:$M, "Yes")&gt;0, "Fatigued", "Healthy")</f>
        <v>Healthy</v>
      </c>
      <c r="F186">
        <v>3999</v>
      </c>
      <c r="G186">
        <v>333.25</v>
      </c>
    </row>
    <row r="187" spans="4:7" x14ac:dyDescent="0.3">
      <c r="D187" t="s">
        <v>193</v>
      </c>
      <c r="E187" t="str">
        <f>IF(COUNTIFS(subscriptions!$A:$A, D187, subscriptions!$M:$M, "Yes")&gt;0, "Fatigued", "Healthy")</f>
        <v>Healthy</v>
      </c>
      <c r="F187">
        <v>3999</v>
      </c>
      <c r="G187">
        <v>333.25</v>
      </c>
    </row>
    <row r="188" spans="4:7" x14ac:dyDescent="0.3">
      <c r="D188" t="s">
        <v>194</v>
      </c>
      <c r="E188" t="str">
        <f>IF(COUNTIFS(subscriptions!$A:$A, D188, subscriptions!$M:$M, "Yes")&gt;0, "Fatigued", "Healthy")</f>
        <v>Healthy</v>
      </c>
      <c r="F188">
        <v>3999</v>
      </c>
      <c r="G188">
        <v>333.25</v>
      </c>
    </row>
    <row r="189" spans="4:7" x14ac:dyDescent="0.3">
      <c r="D189" t="s">
        <v>195</v>
      </c>
      <c r="E189" t="str">
        <f>IF(COUNTIFS(subscriptions!$A:$A, D189, subscriptions!$M:$M, "Yes")&gt;0, "Fatigued", "Healthy")</f>
        <v>Healthy</v>
      </c>
      <c r="F189">
        <v>3999</v>
      </c>
      <c r="G189">
        <v>333.25</v>
      </c>
    </row>
    <row r="190" spans="4:7" x14ac:dyDescent="0.3">
      <c r="D190" t="s">
        <v>196</v>
      </c>
      <c r="E190" t="str">
        <f>IF(COUNTIFS(subscriptions!$A:$A, D190, subscriptions!$M:$M, "Yes")&gt;0, "Fatigued", "Healthy")</f>
        <v>Healthy</v>
      </c>
      <c r="F190">
        <v>3999</v>
      </c>
      <c r="G190">
        <v>333.25</v>
      </c>
    </row>
    <row r="191" spans="4:7" x14ac:dyDescent="0.3">
      <c r="D191" t="s">
        <v>197</v>
      </c>
      <c r="E191" t="str">
        <f>IF(COUNTIFS(subscriptions!$A:$A, D191, subscriptions!$M:$M, "Yes")&gt;0, "Fatigued", "Healthy")</f>
        <v>Healthy</v>
      </c>
      <c r="F191">
        <v>3999</v>
      </c>
      <c r="G191">
        <v>333.25</v>
      </c>
    </row>
    <row r="192" spans="4:7" x14ac:dyDescent="0.3">
      <c r="D192" t="s">
        <v>198</v>
      </c>
      <c r="E192" t="str">
        <f>IF(COUNTIFS(subscriptions!$A:$A, D192, subscriptions!$M:$M, "Yes")&gt;0, "Fatigued", "Healthy")</f>
        <v>Healthy</v>
      </c>
      <c r="F192">
        <v>3999</v>
      </c>
      <c r="G192">
        <v>333.25</v>
      </c>
    </row>
    <row r="193" spans="4:7" x14ac:dyDescent="0.3">
      <c r="D193" t="s">
        <v>199</v>
      </c>
      <c r="E193" t="str">
        <f>IF(COUNTIFS(subscriptions!$A:$A, D193, subscriptions!$M:$M, "Yes")&gt;0, "Fatigued", "Healthy")</f>
        <v>Healthy</v>
      </c>
      <c r="F193">
        <v>3999</v>
      </c>
      <c r="G193">
        <v>333.25</v>
      </c>
    </row>
    <row r="194" spans="4:7" x14ac:dyDescent="0.3">
      <c r="D194" t="s">
        <v>200</v>
      </c>
      <c r="E194" t="str">
        <f>IF(COUNTIFS(subscriptions!$A:$A, D194, subscriptions!$M:$M, "Yes")&gt;0, "Fatigued", "Healthy")</f>
        <v>Healthy</v>
      </c>
      <c r="F194">
        <v>3999</v>
      </c>
      <c r="G194">
        <v>333.25</v>
      </c>
    </row>
    <row r="195" spans="4:7" x14ac:dyDescent="0.3">
      <c r="D195" t="s">
        <v>201</v>
      </c>
      <c r="E195" t="str">
        <f>IF(COUNTIFS(subscriptions!$A:$A, D195, subscriptions!$M:$M, "Yes")&gt;0, "Fatigued", "Healthy")</f>
        <v>Healthy</v>
      </c>
      <c r="F195">
        <v>3999</v>
      </c>
      <c r="G195">
        <v>333.25</v>
      </c>
    </row>
    <row r="196" spans="4:7" x14ac:dyDescent="0.3">
      <c r="D196" t="s">
        <v>202</v>
      </c>
      <c r="E196" t="str">
        <f>IF(COUNTIFS(subscriptions!$A:$A, D196, subscriptions!$M:$M, "Yes")&gt;0, "Fatigued", "Healthy")</f>
        <v>Healthy</v>
      </c>
      <c r="F196">
        <v>3999</v>
      </c>
      <c r="G196">
        <v>333.25</v>
      </c>
    </row>
    <row r="197" spans="4:7" x14ac:dyDescent="0.3">
      <c r="D197" t="s">
        <v>203</v>
      </c>
      <c r="E197" t="str">
        <f>IF(COUNTIFS(subscriptions!$A:$A, D197, subscriptions!$M:$M, "Yes")&gt;0, "Fatigued", "Healthy")</f>
        <v>Healthy</v>
      </c>
      <c r="F197">
        <v>3999</v>
      </c>
      <c r="G197">
        <v>333.25</v>
      </c>
    </row>
    <row r="198" spans="4:7" x14ac:dyDescent="0.3">
      <c r="D198" t="s">
        <v>204</v>
      </c>
      <c r="E198" t="str">
        <f>IF(COUNTIFS(subscriptions!$A:$A, D198, subscriptions!$M:$M, "Yes")&gt;0, "Fatigued", "Healthy")</f>
        <v>Healthy</v>
      </c>
      <c r="F198">
        <v>3999</v>
      </c>
      <c r="G198">
        <v>333.25</v>
      </c>
    </row>
    <row r="199" spans="4:7" x14ac:dyDescent="0.3">
      <c r="D199" t="s">
        <v>205</v>
      </c>
      <c r="E199" t="str">
        <f>IF(COUNTIFS(subscriptions!$A:$A, D199, subscriptions!$M:$M, "Yes")&gt;0, "Fatigued", "Healthy")</f>
        <v>Healthy</v>
      </c>
      <c r="F199">
        <v>3999</v>
      </c>
      <c r="G199">
        <v>333.25</v>
      </c>
    </row>
    <row r="200" spans="4:7" x14ac:dyDescent="0.3">
      <c r="D200" t="s">
        <v>206</v>
      </c>
      <c r="E200" t="str">
        <f>IF(COUNTIFS(subscriptions!$A:$A, D200, subscriptions!$M:$M, "Yes")&gt;0, "Fatigued", "Healthy")</f>
        <v>Healthy</v>
      </c>
      <c r="F200">
        <v>3999</v>
      </c>
      <c r="G200">
        <v>333.25</v>
      </c>
    </row>
    <row r="201" spans="4:7" x14ac:dyDescent="0.3">
      <c r="D201" t="s">
        <v>207</v>
      </c>
      <c r="E201" t="str">
        <f>IF(COUNTIFS(subscriptions!$A:$A, D201, subscriptions!$M:$M, "Yes")&gt;0, "Fatigued", "Healthy")</f>
        <v>Healthy</v>
      </c>
      <c r="F201">
        <v>3999</v>
      </c>
      <c r="G201">
        <v>333.25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C583F-71B0-465C-819D-F8A48E594848}">
  <dimension ref="A1:M201"/>
  <sheetViews>
    <sheetView workbookViewId="0">
      <selection sqref="A1:A1048576"/>
    </sheetView>
  </sheetViews>
  <sheetFormatPr defaultRowHeight="14.4" x14ac:dyDescent="0.3"/>
  <cols>
    <col min="2" max="2" width="11.109375" customWidth="1"/>
    <col min="3" max="3" width="11.5546875" customWidth="1"/>
    <col min="4" max="4" width="13.6640625" customWidth="1"/>
    <col min="5" max="5" width="11.88671875" customWidth="1"/>
    <col min="7" max="7" width="18.77734375" customWidth="1"/>
    <col min="8" max="8" width="12.5546875" customWidth="1"/>
    <col min="9" max="9" width="17.33203125" customWidth="1"/>
    <col min="10" max="10" width="13.33203125" customWidth="1"/>
    <col min="11" max="11" width="17.44140625" customWidth="1"/>
    <col min="12" max="12" width="17.554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209</v>
      </c>
      <c r="H1" t="s">
        <v>208</v>
      </c>
      <c r="I1" t="s">
        <v>210</v>
      </c>
      <c r="J1" t="s">
        <v>211</v>
      </c>
      <c r="K1" t="s">
        <v>212</v>
      </c>
      <c r="L1" t="s">
        <v>213</v>
      </c>
      <c r="M1" t="s">
        <v>214</v>
      </c>
    </row>
    <row r="2" spans="1:13" x14ac:dyDescent="0.3">
      <c r="A2" t="s">
        <v>6</v>
      </c>
      <c r="B2" t="s">
        <v>7</v>
      </c>
      <c r="C2" s="1">
        <v>45296</v>
      </c>
      <c r="D2" s="1">
        <v>45327</v>
      </c>
      <c r="F2">
        <v>499</v>
      </c>
      <c r="G2" s="2">
        <v>45292</v>
      </c>
      <c r="H2">
        <v>1</v>
      </c>
      <c r="I2" t="str">
        <f>IF(H2&lt;=1,"Low",IF(H2&lt;=4,"Medium","High"))</f>
        <v>Low</v>
      </c>
      <c r="J2">
        <v>3</v>
      </c>
      <c r="K2" t="str">
        <f>IF(J2&lt;=1,"Low",IF(J2=2,"Medium","High"))</f>
        <v>High</v>
      </c>
      <c r="L2" t="str">
        <f>IF(OR(I2="High",K2="High"),"High",
IF(OR(I2="Medium",K2="Medium"),"Medium",
"Low"))</f>
        <v>High</v>
      </c>
      <c r="M2" t="str">
        <f>IF(AND(TRIM(I2)="High",TRIM(L2)="Low"),"Yes","No")</f>
        <v>No</v>
      </c>
    </row>
    <row r="3" spans="1:13" x14ac:dyDescent="0.3">
      <c r="A3" t="s">
        <v>8</v>
      </c>
      <c r="B3" t="s">
        <v>7</v>
      </c>
      <c r="C3" s="1">
        <v>45297</v>
      </c>
      <c r="D3" s="1">
        <v>45328</v>
      </c>
      <c r="E3" s="1">
        <v>45319</v>
      </c>
      <c r="F3">
        <v>499</v>
      </c>
      <c r="G3" s="2">
        <v>45292</v>
      </c>
      <c r="H3">
        <v>7</v>
      </c>
      <c r="I3" t="str">
        <f t="shared" ref="I3:I66" si="0">IF(H3&lt;=1,"Low",IF(H3&lt;=4,"Medium","High"))</f>
        <v>High</v>
      </c>
      <c r="J3">
        <v>5</v>
      </c>
      <c r="K3" t="str">
        <f t="shared" ref="K3:K66" si="1">IF(J3&lt;=1,"Low",IF(J3=2,"Medium","High"))</f>
        <v>High</v>
      </c>
      <c r="L3" t="s">
        <v>215</v>
      </c>
      <c r="M3" t="str">
        <f t="shared" ref="M3:M66" si="2">IF(AND(TRIM(I3)="High",TRIM(L3)="Low"),"Yes","No")</f>
        <v>Yes</v>
      </c>
    </row>
    <row r="4" spans="1:13" x14ac:dyDescent="0.3">
      <c r="A4" t="s">
        <v>9</v>
      </c>
      <c r="B4" t="s">
        <v>10</v>
      </c>
      <c r="C4" s="1">
        <v>45298</v>
      </c>
      <c r="D4" s="1">
        <v>45664</v>
      </c>
      <c r="F4">
        <v>3999</v>
      </c>
      <c r="G4" s="2">
        <v>45292</v>
      </c>
      <c r="H4">
        <v>38</v>
      </c>
      <c r="I4" t="str">
        <f t="shared" si="0"/>
        <v>High</v>
      </c>
      <c r="J4">
        <v>15</v>
      </c>
      <c r="K4" t="str">
        <f t="shared" si="1"/>
        <v>High</v>
      </c>
      <c r="L4" t="str">
        <f t="shared" ref="L4:L66" si="3">IF(OR(I4="High",K4="High"),"High",
IF(OR(I4="Medium",K4="Medium"),"Medium",
"Low"))</f>
        <v>High</v>
      </c>
      <c r="M4" t="str">
        <f t="shared" si="2"/>
        <v>No</v>
      </c>
    </row>
    <row r="5" spans="1:13" x14ac:dyDescent="0.3">
      <c r="A5" t="s">
        <v>11</v>
      </c>
      <c r="B5" t="s">
        <v>7</v>
      </c>
      <c r="C5" s="1">
        <v>45299</v>
      </c>
      <c r="D5" s="1">
        <v>45330</v>
      </c>
      <c r="F5">
        <v>499</v>
      </c>
      <c r="G5" s="2">
        <v>45292</v>
      </c>
      <c r="H5">
        <v>0</v>
      </c>
      <c r="I5" t="str">
        <f t="shared" si="0"/>
        <v>Low</v>
      </c>
      <c r="J5">
        <v>0</v>
      </c>
      <c r="K5" t="str">
        <f t="shared" si="1"/>
        <v>Low</v>
      </c>
      <c r="L5" t="str">
        <f t="shared" si="3"/>
        <v>Low</v>
      </c>
      <c r="M5" t="str">
        <f t="shared" si="2"/>
        <v>No</v>
      </c>
    </row>
    <row r="6" spans="1:13" x14ac:dyDescent="0.3">
      <c r="A6" t="s">
        <v>12</v>
      </c>
      <c r="B6" t="s">
        <v>7</v>
      </c>
      <c r="C6" s="1">
        <v>45300</v>
      </c>
      <c r="D6" s="1">
        <v>45331</v>
      </c>
      <c r="E6" s="1">
        <v>45321</v>
      </c>
      <c r="F6">
        <v>499</v>
      </c>
      <c r="G6" s="2">
        <v>45292</v>
      </c>
      <c r="H6">
        <v>43</v>
      </c>
      <c r="I6" t="str">
        <f t="shared" si="0"/>
        <v>High</v>
      </c>
      <c r="J6">
        <v>15</v>
      </c>
      <c r="K6" t="str">
        <f t="shared" si="1"/>
        <v>High</v>
      </c>
      <c r="L6" t="str">
        <f t="shared" si="3"/>
        <v>High</v>
      </c>
      <c r="M6" t="str">
        <f t="shared" si="2"/>
        <v>No</v>
      </c>
    </row>
    <row r="7" spans="1:13" x14ac:dyDescent="0.3">
      <c r="A7" t="s">
        <v>13</v>
      </c>
      <c r="B7" t="s">
        <v>10</v>
      </c>
      <c r="C7" s="1">
        <v>45301</v>
      </c>
      <c r="D7" s="1">
        <v>45667</v>
      </c>
      <c r="F7">
        <v>3999</v>
      </c>
      <c r="G7" s="2">
        <v>45292</v>
      </c>
      <c r="H7">
        <v>6</v>
      </c>
      <c r="I7" t="str">
        <f t="shared" si="0"/>
        <v>High</v>
      </c>
      <c r="J7">
        <v>7</v>
      </c>
      <c r="K7" t="str">
        <f t="shared" si="1"/>
        <v>High</v>
      </c>
      <c r="L7" t="str">
        <f t="shared" si="3"/>
        <v>High</v>
      </c>
      <c r="M7" t="str">
        <f t="shared" si="2"/>
        <v>No</v>
      </c>
    </row>
    <row r="8" spans="1:13" x14ac:dyDescent="0.3">
      <c r="A8" t="s">
        <v>14</v>
      </c>
      <c r="B8" t="s">
        <v>7</v>
      </c>
      <c r="C8" s="1">
        <v>45302</v>
      </c>
      <c r="D8" s="1">
        <v>45333</v>
      </c>
      <c r="F8">
        <v>499</v>
      </c>
      <c r="G8" s="2">
        <v>45292</v>
      </c>
      <c r="H8">
        <v>5</v>
      </c>
      <c r="I8" t="str">
        <f t="shared" si="0"/>
        <v>High</v>
      </c>
      <c r="J8">
        <v>6</v>
      </c>
      <c r="K8" t="str">
        <f t="shared" si="1"/>
        <v>High</v>
      </c>
      <c r="L8" t="str">
        <f t="shared" si="3"/>
        <v>High</v>
      </c>
      <c r="M8" t="str">
        <f t="shared" si="2"/>
        <v>No</v>
      </c>
    </row>
    <row r="9" spans="1:13" x14ac:dyDescent="0.3">
      <c r="A9" t="s">
        <v>15</v>
      </c>
      <c r="B9" t="s">
        <v>7</v>
      </c>
      <c r="C9" s="1">
        <v>45303</v>
      </c>
      <c r="D9" s="1">
        <v>45334</v>
      </c>
      <c r="E9" s="1">
        <v>45323</v>
      </c>
      <c r="F9">
        <v>499</v>
      </c>
      <c r="G9" s="2">
        <v>45292</v>
      </c>
      <c r="H9">
        <v>34</v>
      </c>
      <c r="I9" t="str">
        <f t="shared" si="0"/>
        <v>High</v>
      </c>
      <c r="J9">
        <v>16</v>
      </c>
      <c r="K9" t="str">
        <f t="shared" si="1"/>
        <v>High</v>
      </c>
      <c r="L9" t="str">
        <f t="shared" si="3"/>
        <v>High</v>
      </c>
      <c r="M9" t="str">
        <f t="shared" si="2"/>
        <v>No</v>
      </c>
    </row>
    <row r="10" spans="1:13" x14ac:dyDescent="0.3">
      <c r="A10" t="s">
        <v>16</v>
      </c>
      <c r="B10" t="s">
        <v>10</v>
      </c>
      <c r="C10" s="1">
        <v>45304</v>
      </c>
      <c r="D10" s="1">
        <v>45670</v>
      </c>
      <c r="F10">
        <v>3999</v>
      </c>
      <c r="G10" s="2">
        <v>45292</v>
      </c>
      <c r="H10">
        <v>29</v>
      </c>
      <c r="I10" t="str">
        <f t="shared" si="0"/>
        <v>High</v>
      </c>
      <c r="J10">
        <v>13</v>
      </c>
      <c r="K10" t="str">
        <f t="shared" si="1"/>
        <v>High</v>
      </c>
      <c r="L10" t="str">
        <f t="shared" si="3"/>
        <v>High</v>
      </c>
      <c r="M10" t="str">
        <f t="shared" si="2"/>
        <v>No</v>
      </c>
    </row>
    <row r="11" spans="1:13" x14ac:dyDescent="0.3">
      <c r="A11" t="s">
        <v>17</v>
      </c>
      <c r="B11" t="s">
        <v>7</v>
      </c>
      <c r="C11" s="1">
        <v>45305</v>
      </c>
      <c r="D11" s="1">
        <v>45336</v>
      </c>
      <c r="F11">
        <v>499</v>
      </c>
      <c r="G11" s="2">
        <v>45292</v>
      </c>
      <c r="H11">
        <v>40</v>
      </c>
      <c r="I11" t="str">
        <f t="shared" si="0"/>
        <v>High</v>
      </c>
      <c r="J11">
        <v>13</v>
      </c>
      <c r="K11" t="str">
        <f t="shared" si="1"/>
        <v>High</v>
      </c>
      <c r="L11" t="str">
        <f t="shared" si="3"/>
        <v>High</v>
      </c>
      <c r="M11" t="str">
        <f t="shared" si="2"/>
        <v>No</v>
      </c>
    </row>
    <row r="12" spans="1:13" x14ac:dyDescent="0.3">
      <c r="A12" t="s">
        <v>18</v>
      </c>
      <c r="B12" t="s">
        <v>7</v>
      </c>
      <c r="C12" s="1">
        <v>45306</v>
      </c>
      <c r="D12" s="1">
        <v>45337</v>
      </c>
      <c r="E12" s="1">
        <v>45327</v>
      </c>
      <c r="F12">
        <v>499</v>
      </c>
      <c r="G12" s="2">
        <v>45292</v>
      </c>
      <c r="H12">
        <v>4</v>
      </c>
      <c r="I12" t="str">
        <f t="shared" si="0"/>
        <v>Medium</v>
      </c>
      <c r="J12">
        <v>4</v>
      </c>
      <c r="K12" t="str">
        <f t="shared" si="1"/>
        <v>High</v>
      </c>
      <c r="L12" t="str">
        <f t="shared" si="3"/>
        <v>High</v>
      </c>
      <c r="M12" t="str">
        <f t="shared" si="2"/>
        <v>No</v>
      </c>
    </row>
    <row r="13" spans="1:13" x14ac:dyDescent="0.3">
      <c r="A13" t="s">
        <v>19</v>
      </c>
      <c r="B13" t="s">
        <v>10</v>
      </c>
      <c r="C13" s="1">
        <v>45307</v>
      </c>
      <c r="D13" s="1">
        <v>45673</v>
      </c>
      <c r="F13">
        <v>3999</v>
      </c>
      <c r="G13" s="2">
        <v>45292</v>
      </c>
      <c r="H13">
        <v>1</v>
      </c>
      <c r="I13" t="str">
        <f t="shared" si="0"/>
        <v>Low</v>
      </c>
      <c r="J13">
        <v>2</v>
      </c>
      <c r="K13" t="str">
        <f t="shared" si="1"/>
        <v>Medium</v>
      </c>
      <c r="L13" t="str">
        <f t="shared" si="3"/>
        <v>Medium</v>
      </c>
      <c r="M13" t="str">
        <f t="shared" si="2"/>
        <v>No</v>
      </c>
    </row>
    <row r="14" spans="1:13" x14ac:dyDescent="0.3">
      <c r="A14" t="s">
        <v>20</v>
      </c>
      <c r="B14" t="s">
        <v>7</v>
      </c>
      <c r="C14" s="1">
        <v>45308</v>
      </c>
      <c r="D14" s="1">
        <v>45339</v>
      </c>
      <c r="F14">
        <v>499</v>
      </c>
      <c r="G14" s="2">
        <v>45292</v>
      </c>
      <c r="H14">
        <v>39</v>
      </c>
      <c r="I14" t="str">
        <f t="shared" si="0"/>
        <v>High</v>
      </c>
      <c r="J14">
        <v>12</v>
      </c>
      <c r="K14" t="str">
        <f t="shared" si="1"/>
        <v>High</v>
      </c>
      <c r="L14" t="str">
        <f t="shared" si="3"/>
        <v>High</v>
      </c>
      <c r="M14" t="str">
        <f t="shared" si="2"/>
        <v>No</v>
      </c>
    </row>
    <row r="15" spans="1:13" x14ac:dyDescent="0.3">
      <c r="A15" t="s">
        <v>21</v>
      </c>
      <c r="B15" t="s">
        <v>7</v>
      </c>
      <c r="C15" s="1">
        <v>45309</v>
      </c>
      <c r="D15" s="1">
        <v>45340</v>
      </c>
      <c r="E15" s="1">
        <v>45332</v>
      </c>
      <c r="F15">
        <v>499</v>
      </c>
      <c r="G15" s="2">
        <v>45292</v>
      </c>
      <c r="H15">
        <v>33</v>
      </c>
      <c r="I15" t="str">
        <f t="shared" si="0"/>
        <v>High</v>
      </c>
      <c r="J15">
        <v>13</v>
      </c>
      <c r="K15" t="str">
        <f t="shared" si="1"/>
        <v>High</v>
      </c>
      <c r="L15" t="s">
        <v>215</v>
      </c>
      <c r="M15" t="str">
        <f t="shared" si="2"/>
        <v>Yes</v>
      </c>
    </row>
    <row r="16" spans="1:13" x14ac:dyDescent="0.3">
      <c r="A16" t="s">
        <v>22</v>
      </c>
      <c r="B16" t="s">
        <v>10</v>
      </c>
      <c r="C16" s="1">
        <v>45310</v>
      </c>
      <c r="D16" s="1">
        <v>45676</v>
      </c>
      <c r="F16">
        <v>3999</v>
      </c>
      <c r="G16" s="2">
        <v>45292</v>
      </c>
      <c r="H16">
        <v>43</v>
      </c>
      <c r="I16" t="str">
        <f t="shared" si="0"/>
        <v>High</v>
      </c>
      <c r="J16">
        <v>18</v>
      </c>
      <c r="K16" t="str">
        <f t="shared" si="1"/>
        <v>High</v>
      </c>
      <c r="L16" t="str">
        <f t="shared" si="3"/>
        <v>High</v>
      </c>
      <c r="M16" t="str">
        <f t="shared" si="2"/>
        <v>No</v>
      </c>
    </row>
    <row r="17" spans="1:13" x14ac:dyDescent="0.3">
      <c r="A17" t="s">
        <v>23</v>
      </c>
      <c r="B17" t="s">
        <v>7</v>
      </c>
      <c r="C17" s="1">
        <v>45311</v>
      </c>
      <c r="D17" s="1">
        <v>45342</v>
      </c>
      <c r="F17">
        <v>499</v>
      </c>
      <c r="G17" s="2">
        <v>45292</v>
      </c>
      <c r="H17">
        <v>2</v>
      </c>
      <c r="I17" t="str">
        <f t="shared" si="0"/>
        <v>Medium</v>
      </c>
      <c r="J17">
        <v>10</v>
      </c>
      <c r="K17" t="str">
        <f t="shared" si="1"/>
        <v>High</v>
      </c>
      <c r="L17" t="str">
        <f t="shared" si="3"/>
        <v>High</v>
      </c>
      <c r="M17" t="str">
        <f t="shared" si="2"/>
        <v>No</v>
      </c>
    </row>
    <row r="18" spans="1:13" x14ac:dyDescent="0.3">
      <c r="A18" t="s">
        <v>24</v>
      </c>
      <c r="B18" t="s">
        <v>7</v>
      </c>
      <c r="C18" s="1">
        <v>45312</v>
      </c>
      <c r="D18" s="1">
        <v>45343</v>
      </c>
      <c r="E18" s="1">
        <v>45334</v>
      </c>
      <c r="F18">
        <v>499</v>
      </c>
      <c r="G18" s="2">
        <v>45292</v>
      </c>
      <c r="H18">
        <v>6</v>
      </c>
      <c r="I18" t="str">
        <f t="shared" si="0"/>
        <v>High</v>
      </c>
      <c r="J18">
        <v>9</v>
      </c>
      <c r="K18" t="str">
        <f t="shared" si="1"/>
        <v>High</v>
      </c>
      <c r="L18" t="str">
        <f t="shared" si="3"/>
        <v>High</v>
      </c>
      <c r="M18" t="str">
        <f t="shared" si="2"/>
        <v>No</v>
      </c>
    </row>
    <row r="19" spans="1:13" x14ac:dyDescent="0.3">
      <c r="A19" t="s">
        <v>25</v>
      </c>
      <c r="B19" t="s">
        <v>10</v>
      </c>
      <c r="C19" s="1">
        <v>45313</v>
      </c>
      <c r="D19" s="1">
        <v>45679</v>
      </c>
      <c r="F19">
        <v>3999</v>
      </c>
      <c r="G19" s="2">
        <v>45292</v>
      </c>
      <c r="H19">
        <v>42</v>
      </c>
      <c r="I19" t="str">
        <f t="shared" si="0"/>
        <v>High</v>
      </c>
      <c r="J19">
        <v>11</v>
      </c>
      <c r="K19" t="str">
        <f t="shared" si="1"/>
        <v>High</v>
      </c>
      <c r="L19" t="str">
        <f t="shared" si="3"/>
        <v>High</v>
      </c>
      <c r="M19" t="str">
        <f t="shared" si="2"/>
        <v>No</v>
      </c>
    </row>
    <row r="20" spans="1:13" x14ac:dyDescent="0.3">
      <c r="A20" t="s">
        <v>26</v>
      </c>
      <c r="B20" t="s">
        <v>7</v>
      </c>
      <c r="C20" s="1">
        <v>45314</v>
      </c>
      <c r="D20" s="1">
        <v>45345</v>
      </c>
      <c r="F20">
        <v>499</v>
      </c>
      <c r="G20" s="2">
        <v>45292</v>
      </c>
      <c r="H20">
        <v>27</v>
      </c>
      <c r="I20" t="str">
        <f t="shared" si="0"/>
        <v>High</v>
      </c>
      <c r="J20">
        <v>8</v>
      </c>
      <c r="K20" t="str">
        <f t="shared" si="1"/>
        <v>High</v>
      </c>
      <c r="L20" t="s">
        <v>215</v>
      </c>
      <c r="M20" t="str">
        <f t="shared" si="2"/>
        <v>Yes</v>
      </c>
    </row>
    <row r="21" spans="1:13" x14ac:dyDescent="0.3">
      <c r="A21" t="s">
        <v>27</v>
      </c>
      <c r="B21" t="s">
        <v>7</v>
      </c>
      <c r="C21" s="1">
        <v>45315</v>
      </c>
      <c r="D21" s="1">
        <v>45346</v>
      </c>
      <c r="E21" s="1">
        <v>45337</v>
      </c>
      <c r="F21">
        <v>499</v>
      </c>
      <c r="G21" s="2">
        <v>45292</v>
      </c>
      <c r="H21">
        <v>36</v>
      </c>
      <c r="I21" t="str">
        <f t="shared" si="0"/>
        <v>High</v>
      </c>
      <c r="J21">
        <v>14</v>
      </c>
      <c r="K21" t="str">
        <f t="shared" si="1"/>
        <v>High</v>
      </c>
      <c r="L21" t="str">
        <f t="shared" si="3"/>
        <v>High</v>
      </c>
      <c r="M21" t="str">
        <f t="shared" si="2"/>
        <v>No</v>
      </c>
    </row>
    <row r="22" spans="1:13" x14ac:dyDescent="0.3">
      <c r="A22" t="s">
        <v>28</v>
      </c>
      <c r="B22" t="s">
        <v>10</v>
      </c>
      <c r="C22" s="1">
        <v>45316</v>
      </c>
      <c r="D22" s="1">
        <v>45682</v>
      </c>
      <c r="F22">
        <v>3999</v>
      </c>
      <c r="G22" s="2">
        <v>45292</v>
      </c>
      <c r="H22">
        <v>2</v>
      </c>
      <c r="I22" t="str">
        <f t="shared" si="0"/>
        <v>Medium</v>
      </c>
      <c r="J22">
        <v>6</v>
      </c>
      <c r="K22" t="str">
        <f t="shared" si="1"/>
        <v>High</v>
      </c>
      <c r="L22" t="str">
        <f t="shared" si="3"/>
        <v>High</v>
      </c>
      <c r="M22" t="str">
        <f t="shared" si="2"/>
        <v>No</v>
      </c>
    </row>
    <row r="23" spans="1:13" x14ac:dyDescent="0.3">
      <c r="A23" t="s">
        <v>29</v>
      </c>
      <c r="B23" t="s">
        <v>7</v>
      </c>
      <c r="C23" s="1">
        <v>45317</v>
      </c>
      <c r="D23" s="1">
        <v>45348</v>
      </c>
      <c r="F23">
        <v>499</v>
      </c>
      <c r="G23" s="2">
        <v>45292</v>
      </c>
      <c r="H23">
        <v>7</v>
      </c>
      <c r="I23" t="str">
        <f t="shared" si="0"/>
        <v>High</v>
      </c>
      <c r="J23">
        <v>7</v>
      </c>
      <c r="K23" t="str">
        <f t="shared" si="1"/>
        <v>High</v>
      </c>
      <c r="L23" t="str">
        <f t="shared" si="3"/>
        <v>High</v>
      </c>
      <c r="M23" t="str">
        <f t="shared" si="2"/>
        <v>No</v>
      </c>
    </row>
    <row r="24" spans="1:13" x14ac:dyDescent="0.3">
      <c r="A24" t="s">
        <v>30</v>
      </c>
      <c r="B24" t="s">
        <v>7</v>
      </c>
      <c r="C24" s="1">
        <v>45318</v>
      </c>
      <c r="D24" s="1">
        <v>45349</v>
      </c>
      <c r="E24" s="1">
        <v>45340</v>
      </c>
      <c r="F24">
        <v>499</v>
      </c>
      <c r="G24" s="2">
        <v>45292</v>
      </c>
      <c r="H24">
        <v>40</v>
      </c>
      <c r="I24" t="str">
        <f t="shared" si="0"/>
        <v>High</v>
      </c>
      <c r="J24">
        <v>15</v>
      </c>
      <c r="K24" t="str">
        <f t="shared" si="1"/>
        <v>High</v>
      </c>
      <c r="L24" t="str">
        <f t="shared" si="3"/>
        <v>High</v>
      </c>
      <c r="M24" t="str">
        <f t="shared" si="2"/>
        <v>No</v>
      </c>
    </row>
    <row r="25" spans="1:13" x14ac:dyDescent="0.3">
      <c r="A25" t="s">
        <v>31</v>
      </c>
      <c r="B25" t="s">
        <v>10</v>
      </c>
      <c r="C25" s="1">
        <v>45319</v>
      </c>
      <c r="D25" s="1">
        <v>45685</v>
      </c>
      <c r="F25">
        <v>3999</v>
      </c>
      <c r="G25" s="2">
        <v>45292</v>
      </c>
      <c r="H25">
        <v>29</v>
      </c>
      <c r="I25" t="str">
        <f t="shared" si="0"/>
        <v>High</v>
      </c>
      <c r="J25">
        <v>9</v>
      </c>
      <c r="K25" t="str">
        <f t="shared" si="1"/>
        <v>High</v>
      </c>
      <c r="L25" t="str">
        <f t="shared" si="3"/>
        <v>High</v>
      </c>
      <c r="M25" t="str">
        <f t="shared" si="2"/>
        <v>No</v>
      </c>
    </row>
    <row r="26" spans="1:13" x14ac:dyDescent="0.3">
      <c r="A26" t="s">
        <v>32</v>
      </c>
      <c r="B26" t="s">
        <v>7</v>
      </c>
      <c r="C26" s="1">
        <v>45320</v>
      </c>
      <c r="D26" s="1">
        <v>45351</v>
      </c>
      <c r="F26">
        <v>499</v>
      </c>
      <c r="G26" s="2">
        <v>45292</v>
      </c>
      <c r="H26">
        <v>34</v>
      </c>
      <c r="I26" t="str">
        <f t="shared" si="0"/>
        <v>High</v>
      </c>
      <c r="J26">
        <v>12</v>
      </c>
      <c r="K26" t="str">
        <f t="shared" si="1"/>
        <v>High</v>
      </c>
      <c r="L26" t="str">
        <f t="shared" si="3"/>
        <v>High</v>
      </c>
      <c r="M26" t="str">
        <f t="shared" si="2"/>
        <v>No</v>
      </c>
    </row>
    <row r="27" spans="1:13" x14ac:dyDescent="0.3">
      <c r="A27" t="s">
        <v>33</v>
      </c>
      <c r="B27" t="s">
        <v>7</v>
      </c>
      <c r="C27" s="1">
        <v>45321</v>
      </c>
      <c r="D27" s="1">
        <v>45352</v>
      </c>
      <c r="E27" s="1">
        <v>45342</v>
      </c>
      <c r="F27">
        <v>499</v>
      </c>
      <c r="G27" s="2">
        <v>45292</v>
      </c>
      <c r="H27">
        <v>5</v>
      </c>
      <c r="I27" t="str">
        <f t="shared" si="0"/>
        <v>High</v>
      </c>
      <c r="J27">
        <v>13</v>
      </c>
      <c r="K27" t="str">
        <f t="shared" si="1"/>
        <v>High</v>
      </c>
      <c r="L27" t="str">
        <f t="shared" si="3"/>
        <v>High</v>
      </c>
      <c r="M27" t="str">
        <f t="shared" si="2"/>
        <v>No</v>
      </c>
    </row>
    <row r="28" spans="1:13" x14ac:dyDescent="0.3">
      <c r="A28" t="s">
        <v>34</v>
      </c>
      <c r="B28" t="s">
        <v>10</v>
      </c>
      <c r="C28" s="1">
        <v>45323</v>
      </c>
      <c r="D28" s="1">
        <v>45689</v>
      </c>
      <c r="F28">
        <v>3999</v>
      </c>
      <c r="G28" s="2">
        <v>45323</v>
      </c>
      <c r="H28">
        <v>6</v>
      </c>
      <c r="I28" t="str">
        <f t="shared" si="0"/>
        <v>High</v>
      </c>
      <c r="J28">
        <v>11</v>
      </c>
      <c r="K28" t="str">
        <f t="shared" si="1"/>
        <v>High</v>
      </c>
      <c r="L28" t="str">
        <f t="shared" si="3"/>
        <v>High</v>
      </c>
      <c r="M28" t="str">
        <f t="shared" si="2"/>
        <v>No</v>
      </c>
    </row>
    <row r="29" spans="1:13" x14ac:dyDescent="0.3">
      <c r="A29" t="s">
        <v>35</v>
      </c>
      <c r="B29" t="s">
        <v>7</v>
      </c>
      <c r="C29" s="1">
        <v>45324</v>
      </c>
      <c r="D29" s="1">
        <v>45353</v>
      </c>
      <c r="F29">
        <v>499</v>
      </c>
      <c r="G29" s="2">
        <v>45323</v>
      </c>
      <c r="H29">
        <v>41</v>
      </c>
      <c r="I29" t="str">
        <f t="shared" si="0"/>
        <v>High</v>
      </c>
      <c r="J29">
        <v>10</v>
      </c>
      <c r="K29" t="str">
        <f t="shared" si="1"/>
        <v>High</v>
      </c>
      <c r="L29" t="str">
        <f t="shared" si="3"/>
        <v>High</v>
      </c>
      <c r="M29" t="str">
        <f t="shared" si="2"/>
        <v>No</v>
      </c>
    </row>
    <row r="30" spans="1:13" x14ac:dyDescent="0.3">
      <c r="A30" t="s">
        <v>36</v>
      </c>
      <c r="B30" t="s">
        <v>7</v>
      </c>
      <c r="C30" s="1">
        <v>45325</v>
      </c>
      <c r="D30" s="1">
        <v>45354</v>
      </c>
      <c r="E30" s="1">
        <v>45344</v>
      </c>
      <c r="F30">
        <v>499</v>
      </c>
      <c r="G30" s="2">
        <v>45323</v>
      </c>
      <c r="H30">
        <v>28</v>
      </c>
      <c r="I30" t="str">
        <f t="shared" si="0"/>
        <v>High</v>
      </c>
      <c r="J30">
        <v>14</v>
      </c>
      <c r="K30" t="str">
        <f t="shared" si="1"/>
        <v>High</v>
      </c>
      <c r="L30" t="str">
        <f t="shared" si="3"/>
        <v>High</v>
      </c>
      <c r="M30" t="str">
        <f t="shared" si="2"/>
        <v>No</v>
      </c>
    </row>
    <row r="31" spans="1:13" x14ac:dyDescent="0.3">
      <c r="A31" t="s">
        <v>37</v>
      </c>
      <c r="B31" t="s">
        <v>10</v>
      </c>
      <c r="C31" s="1">
        <v>45326</v>
      </c>
      <c r="D31" s="1">
        <v>45692</v>
      </c>
      <c r="F31">
        <v>3999</v>
      </c>
      <c r="G31" s="2">
        <v>45323</v>
      </c>
      <c r="H31">
        <v>37</v>
      </c>
      <c r="I31" t="str">
        <f t="shared" si="0"/>
        <v>High</v>
      </c>
      <c r="J31">
        <v>16</v>
      </c>
      <c r="K31" t="str">
        <f t="shared" si="1"/>
        <v>High</v>
      </c>
      <c r="L31" t="str">
        <f t="shared" si="3"/>
        <v>High</v>
      </c>
      <c r="M31" t="str">
        <f t="shared" si="2"/>
        <v>No</v>
      </c>
    </row>
    <row r="32" spans="1:13" x14ac:dyDescent="0.3">
      <c r="A32" t="s">
        <v>38</v>
      </c>
      <c r="B32" t="s">
        <v>7</v>
      </c>
      <c r="C32" s="1">
        <v>45327</v>
      </c>
      <c r="D32" s="1">
        <v>45356</v>
      </c>
      <c r="F32">
        <v>499</v>
      </c>
      <c r="G32" s="2">
        <v>45323</v>
      </c>
      <c r="H32">
        <v>3</v>
      </c>
      <c r="I32" t="str">
        <f t="shared" si="0"/>
        <v>Medium</v>
      </c>
      <c r="J32">
        <v>8</v>
      </c>
      <c r="K32" t="str">
        <f t="shared" si="1"/>
        <v>High</v>
      </c>
      <c r="L32" t="str">
        <f t="shared" si="3"/>
        <v>High</v>
      </c>
      <c r="M32" t="str">
        <f t="shared" si="2"/>
        <v>No</v>
      </c>
    </row>
    <row r="33" spans="1:13" x14ac:dyDescent="0.3">
      <c r="A33" t="s">
        <v>39</v>
      </c>
      <c r="B33" t="s">
        <v>7</v>
      </c>
      <c r="C33" s="1">
        <v>45328</v>
      </c>
      <c r="D33" s="1">
        <v>45357</v>
      </c>
      <c r="E33" s="1">
        <v>45347</v>
      </c>
      <c r="F33">
        <v>499</v>
      </c>
      <c r="G33" s="2">
        <v>45323</v>
      </c>
      <c r="H33">
        <v>5</v>
      </c>
      <c r="I33" t="str">
        <f t="shared" si="0"/>
        <v>High</v>
      </c>
      <c r="J33">
        <v>9</v>
      </c>
      <c r="K33" t="str">
        <f t="shared" si="1"/>
        <v>High</v>
      </c>
      <c r="L33" t="str">
        <f t="shared" si="3"/>
        <v>High</v>
      </c>
      <c r="M33" t="str">
        <f t="shared" si="2"/>
        <v>No</v>
      </c>
    </row>
    <row r="34" spans="1:13" x14ac:dyDescent="0.3">
      <c r="A34" t="s">
        <v>40</v>
      </c>
      <c r="B34" t="s">
        <v>10</v>
      </c>
      <c r="C34" s="1">
        <v>45329</v>
      </c>
      <c r="D34" s="1">
        <v>45695</v>
      </c>
      <c r="F34">
        <v>3999</v>
      </c>
      <c r="G34" s="2">
        <v>45323</v>
      </c>
      <c r="H34">
        <v>38</v>
      </c>
      <c r="I34" t="str">
        <f t="shared" si="0"/>
        <v>High</v>
      </c>
      <c r="J34">
        <v>12</v>
      </c>
      <c r="K34" t="str">
        <f t="shared" si="1"/>
        <v>High</v>
      </c>
      <c r="L34" t="str">
        <f t="shared" si="3"/>
        <v>High</v>
      </c>
      <c r="M34" t="str">
        <f t="shared" si="2"/>
        <v>No</v>
      </c>
    </row>
    <row r="35" spans="1:13" x14ac:dyDescent="0.3">
      <c r="A35" t="s">
        <v>41</v>
      </c>
      <c r="B35" t="s">
        <v>7</v>
      </c>
      <c r="C35" s="1">
        <v>45330</v>
      </c>
      <c r="D35" s="1">
        <v>45359</v>
      </c>
      <c r="F35">
        <v>499</v>
      </c>
      <c r="G35" s="2">
        <v>45323</v>
      </c>
      <c r="H35">
        <v>31</v>
      </c>
      <c r="I35" t="str">
        <f t="shared" si="0"/>
        <v>High</v>
      </c>
      <c r="J35">
        <v>15</v>
      </c>
      <c r="K35" t="str">
        <f t="shared" si="1"/>
        <v>High</v>
      </c>
      <c r="L35" t="str">
        <f t="shared" si="3"/>
        <v>High</v>
      </c>
      <c r="M35" t="str">
        <f t="shared" si="2"/>
        <v>No</v>
      </c>
    </row>
    <row r="36" spans="1:13" x14ac:dyDescent="0.3">
      <c r="A36" t="s">
        <v>42</v>
      </c>
      <c r="B36" t="s">
        <v>7</v>
      </c>
      <c r="C36" s="1">
        <v>45331</v>
      </c>
      <c r="D36" s="1">
        <v>45360</v>
      </c>
      <c r="E36" s="1">
        <v>45350</v>
      </c>
      <c r="F36">
        <v>499</v>
      </c>
      <c r="G36" s="2">
        <v>45323</v>
      </c>
      <c r="H36">
        <v>45</v>
      </c>
      <c r="I36" t="str">
        <f t="shared" si="0"/>
        <v>High</v>
      </c>
      <c r="J36">
        <v>17</v>
      </c>
      <c r="K36" t="str">
        <f t="shared" si="1"/>
        <v>High</v>
      </c>
      <c r="L36" t="str">
        <f t="shared" si="3"/>
        <v>High</v>
      </c>
      <c r="M36" t="str">
        <f t="shared" si="2"/>
        <v>No</v>
      </c>
    </row>
    <row r="37" spans="1:13" x14ac:dyDescent="0.3">
      <c r="A37" t="s">
        <v>43</v>
      </c>
      <c r="B37" t="s">
        <v>10</v>
      </c>
      <c r="C37" s="1">
        <v>45332</v>
      </c>
      <c r="D37" s="1">
        <v>45698</v>
      </c>
      <c r="F37">
        <v>3999</v>
      </c>
      <c r="G37" s="2">
        <v>45323</v>
      </c>
      <c r="H37">
        <v>5</v>
      </c>
      <c r="I37" t="str">
        <f t="shared" si="0"/>
        <v>High</v>
      </c>
      <c r="J37">
        <v>5</v>
      </c>
      <c r="K37" t="str">
        <f t="shared" si="1"/>
        <v>High</v>
      </c>
      <c r="L37" t="str">
        <f t="shared" si="3"/>
        <v>High</v>
      </c>
      <c r="M37" t="str">
        <f t="shared" si="2"/>
        <v>No</v>
      </c>
    </row>
    <row r="38" spans="1:13" x14ac:dyDescent="0.3">
      <c r="A38" t="s">
        <v>44</v>
      </c>
      <c r="B38" t="s">
        <v>7</v>
      </c>
      <c r="C38" s="1">
        <v>45333</v>
      </c>
      <c r="D38" s="1">
        <v>45362</v>
      </c>
      <c r="F38">
        <v>499</v>
      </c>
      <c r="G38" s="2">
        <v>45323</v>
      </c>
      <c r="H38">
        <v>4</v>
      </c>
      <c r="I38" t="str">
        <f t="shared" si="0"/>
        <v>Medium</v>
      </c>
      <c r="J38">
        <v>4</v>
      </c>
      <c r="K38" t="str">
        <f t="shared" si="1"/>
        <v>High</v>
      </c>
      <c r="L38" t="str">
        <f t="shared" si="3"/>
        <v>High</v>
      </c>
      <c r="M38" t="str">
        <f t="shared" si="2"/>
        <v>No</v>
      </c>
    </row>
    <row r="39" spans="1:13" x14ac:dyDescent="0.3">
      <c r="A39" t="s">
        <v>45</v>
      </c>
      <c r="B39" t="s">
        <v>7</v>
      </c>
      <c r="C39" s="1">
        <v>45334</v>
      </c>
      <c r="D39" s="1">
        <v>45363</v>
      </c>
      <c r="E39" s="1">
        <v>45353</v>
      </c>
      <c r="F39">
        <v>499</v>
      </c>
      <c r="G39" s="2">
        <v>45323</v>
      </c>
      <c r="H39">
        <v>34</v>
      </c>
      <c r="I39" t="str">
        <f t="shared" si="0"/>
        <v>High</v>
      </c>
      <c r="J39">
        <v>14</v>
      </c>
      <c r="K39" t="str">
        <f t="shared" si="1"/>
        <v>High</v>
      </c>
      <c r="L39" t="str">
        <f t="shared" si="3"/>
        <v>High</v>
      </c>
      <c r="M39" t="str">
        <f t="shared" si="2"/>
        <v>No</v>
      </c>
    </row>
    <row r="40" spans="1:13" x14ac:dyDescent="0.3">
      <c r="A40" t="s">
        <v>46</v>
      </c>
      <c r="B40" t="s">
        <v>10</v>
      </c>
      <c r="C40" s="1">
        <v>45335</v>
      </c>
      <c r="D40" s="1">
        <v>45701</v>
      </c>
      <c r="F40">
        <v>3999</v>
      </c>
      <c r="G40" s="2">
        <v>45323</v>
      </c>
      <c r="H40">
        <v>28</v>
      </c>
      <c r="I40" t="str">
        <f t="shared" si="0"/>
        <v>High</v>
      </c>
      <c r="J40">
        <v>16</v>
      </c>
      <c r="K40" t="str">
        <f t="shared" si="1"/>
        <v>High</v>
      </c>
      <c r="L40" t="str">
        <f t="shared" si="3"/>
        <v>High</v>
      </c>
      <c r="M40" t="str">
        <f t="shared" si="2"/>
        <v>No</v>
      </c>
    </row>
    <row r="41" spans="1:13" x14ac:dyDescent="0.3">
      <c r="A41" t="s">
        <v>47</v>
      </c>
      <c r="B41" t="s">
        <v>7</v>
      </c>
      <c r="C41" s="1">
        <v>45336</v>
      </c>
      <c r="D41" s="1">
        <v>45365</v>
      </c>
      <c r="F41">
        <v>499</v>
      </c>
      <c r="G41" s="2">
        <v>45323</v>
      </c>
      <c r="H41">
        <v>43</v>
      </c>
      <c r="I41" t="str">
        <f t="shared" si="0"/>
        <v>High</v>
      </c>
      <c r="J41">
        <v>15</v>
      </c>
      <c r="K41" t="str">
        <f t="shared" si="1"/>
        <v>High</v>
      </c>
      <c r="L41" t="str">
        <f t="shared" si="3"/>
        <v>High</v>
      </c>
      <c r="M41" t="str">
        <f t="shared" si="2"/>
        <v>No</v>
      </c>
    </row>
    <row r="42" spans="1:13" x14ac:dyDescent="0.3">
      <c r="A42" t="s">
        <v>48</v>
      </c>
      <c r="B42" t="s">
        <v>7</v>
      </c>
      <c r="C42" s="1">
        <v>45337</v>
      </c>
      <c r="D42" s="1">
        <v>45366</v>
      </c>
      <c r="E42" s="1">
        <v>45356</v>
      </c>
      <c r="F42">
        <v>499</v>
      </c>
      <c r="G42" s="2">
        <v>45323</v>
      </c>
      <c r="H42">
        <v>4</v>
      </c>
      <c r="I42" t="str">
        <f t="shared" si="0"/>
        <v>Medium</v>
      </c>
      <c r="J42">
        <v>3</v>
      </c>
      <c r="K42" t="str">
        <f t="shared" si="1"/>
        <v>High</v>
      </c>
      <c r="L42" t="str">
        <f t="shared" si="3"/>
        <v>High</v>
      </c>
      <c r="M42" t="str">
        <f t="shared" si="2"/>
        <v>No</v>
      </c>
    </row>
    <row r="43" spans="1:13" x14ac:dyDescent="0.3">
      <c r="A43" t="s">
        <v>49</v>
      </c>
      <c r="B43" t="s">
        <v>10</v>
      </c>
      <c r="C43" s="1">
        <v>45338</v>
      </c>
      <c r="D43" s="1">
        <v>45704</v>
      </c>
      <c r="F43">
        <v>3999</v>
      </c>
      <c r="G43" s="2">
        <v>45323</v>
      </c>
      <c r="H43">
        <v>5</v>
      </c>
      <c r="I43" t="str">
        <f t="shared" si="0"/>
        <v>High</v>
      </c>
      <c r="J43">
        <v>5</v>
      </c>
      <c r="K43" t="str">
        <f t="shared" si="1"/>
        <v>High</v>
      </c>
      <c r="L43" t="s">
        <v>215</v>
      </c>
      <c r="M43" t="str">
        <f t="shared" si="2"/>
        <v>Yes</v>
      </c>
    </row>
    <row r="44" spans="1:13" x14ac:dyDescent="0.3">
      <c r="A44" t="s">
        <v>50</v>
      </c>
      <c r="B44" t="s">
        <v>7</v>
      </c>
      <c r="C44" s="1">
        <v>45339</v>
      </c>
      <c r="D44" s="1">
        <v>45368</v>
      </c>
      <c r="F44">
        <v>499</v>
      </c>
      <c r="G44" s="2">
        <v>45323</v>
      </c>
      <c r="H44">
        <v>32</v>
      </c>
      <c r="I44" t="str">
        <f t="shared" si="0"/>
        <v>High</v>
      </c>
      <c r="J44">
        <v>16</v>
      </c>
      <c r="K44" t="str">
        <f t="shared" si="1"/>
        <v>High</v>
      </c>
      <c r="L44" t="str">
        <f t="shared" si="3"/>
        <v>High</v>
      </c>
      <c r="M44" t="str">
        <f t="shared" si="2"/>
        <v>No</v>
      </c>
    </row>
    <row r="45" spans="1:13" x14ac:dyDescent="0.3">
      <c r="A45" t="s">
        <v>51</v>
      </c>
      <c r="B45" t="s">
        <v>7</v>
      </c>
      <c r="C45" s="1">
        <v>45340</v>
      </c>
      <c r="D45" s="1">
        <v>45369</v>
      </c>
      <c r="E45" s="1">
        <v>45359</v>
      </c>
      <c r="F45">
        <v>499</v>
      </c>
      <c r="G45" s="2">
        <v>45323</v>
      </c>
      <c r="H45">
        <v>35</v>
      </c>
      <c r="I45" t="str">
        <f t="shared" si="0"/>
        <v>High</v>
      </c>
      <c r="J45">
        <v>17</v>
      </c>
      <c r="K45" t="str">
        <f t="shared" si="1"/>
        <v>High</v>
      </c>
      <c r="L45" t="str">
        <f t="shared" si="3"/>
        <v>High</v>
      </c>
      <c r="M45" t="str">
        <f t="shared" si="2"/>
        <v>No</v>
      </c>
    </row>
    <row r="46" spans="1:13" x14ac:dyDescent="0.3">
      <c r="A46" t="s">
        <v>52</v>
      </c>
      <c r="B46" t="s">
        <v>10</v>
      </c>
      <c r="C46" s="1">
        <v>45341</v>
      </c>
      <c r="D46" s="1">
        <v>45707</v>
      </c>
      <c r="F46">
        <v>3999</v>
      </c>
      <c r="G46" s="2">
        <v>45323</v>
      </c>
      <c r="H46">
        <v>37</v>
      </c>
      <c r="I46" t="str">
        <f t="shared" si="0"/>
        <v>High</v>
      </c>
      <c r="J46">
        <v>14</v>
      </c>
      <c r="K46" t="str">
        <f t="shared" si="1"/>
        <v>High</v>
      </c>
      <c r="L46" t="str">
        <f t="shared" si="3"/>
        <v>High</v>
      </c>
      <c r="M46" t="str">
        <f t="shared" si="2"/>
        <v>No</v>
      </c>
    </row>
    <row r="47" spans="1:13" x14ac:dyDescent="0.3">
      <c r="A47" t="s">
        <v>53</v>
      </c>
      <c r="B47" t="s">
        <v>7</v>
      </c>
      <c r="C47" s="1">
        <v>45342</v>
      </c>
      <c r="D47" s="1">
        <v>45371</v>
      </c>
      <c r="F47">
        <v>499</v>
      </c>
      <c r="G47" s="2">
        <v>45323</v>
      </c>
      <c r="H47">
        <v>3</v>
      </c>
      <c r="I47" t="str">
        <f t="shared" si="0"/>
        <v>Medium</v>
      </c>
      <c r="J47">
        <v>4</v>
      </c>
      <c r="K47" t="str">
        <f t="shared" si="1"/>
        <v>High</v>
      </c>
      <c r="L47" t="str">
        <f t="shared" si="3"/>
        <v>High</v>
      </c>
      <c r="M47" t="str">
        <f t="shared" si="2"/>
        <v>No</v>
      </c>
    </row>
    <row r="48" spans="1:13" x14ac:dyDescent="0.3">
      <c r="A48" t="s">
        <v>54</v>
      </c>
      <c r="B48" t="s">
        <v>7</v>
      </c>
      <c r="C48" s="1">
        <v>45343</v>
      </c>
      <c r="D48" s="1">
        <v>45372</v>
      </c>
      <c r="E48" s="1">
        <v>45361</v>
      </c>
      <c r="F48">
        <v>499</v>
      </c>
      <c r="G48" s="2">
        <v>45323</v>
      </c>
      <c r="H48">
        <v>4</v>
      </c>
      <c r="I48" t="str">
        <f t="shared" si="0"/>
        <v>Medium</v>
      </c>
      <c r="J48">
        <v>5</v>
      </c>
      <c r="K48" t="str">
        <f t="shared" si="1"/>
        <v>High</v>
      </c>
      <c r="L48" t="str">
        <f t="shared" si="3"/>
        <v>High</v>
      </c>
      <c r="M48" t="str">
        <f t="shared" si="2"/>
        <v>No</v>
      </c>
    </row>
    <row r="49" spans="1:13" x14ac:dyDescent="0.3">
      <c r="A49" t="s">
        <v>55</v>
      </c>
      <c r="B49" t="s">
        <v>10</v>
      </c>
      <c r="C49" s="1">
        <v>45344</v>
      </c>
      <c r="D49" s="1">
        <v>45710</v>
      </c>
      <c r="F49">
        <v>3999</v>
      </c>
      <c r="G49" s="2">
        <v>45323</v>
      </c>
      <c r="H49">
        <v>32</v>
      </c>
      <c r="I49" t="str">
        <f t="shared" si="0"/>
        <v>High</v>
      </c>
      <c r="J49">
        <v>13</v>
      </c>
      <c r="K49" t="str">
        <f t="shared" si="1"/>
        <v>High</v>
      </c>
      <c r="L49" t="str">
        <f t="shared" si="3"/>
        <v>High</v>
      </c>
      <c r="M49" t="str">
        <f t="shared" si="2"/>
        <v>No</v>
      </c>
    </row>
    <row r="50" spans="1:13" x14ac:dyDescent="0.3">
      <c r="A50" t="s">
        <v>56</v>
      </c>
      <c r="B50" t="s">
        <v>7</v>
      </c>
      <c r="C50" s="1">
        <v>45345</v>
      </c>
      <c r="D50" s="1">
        <v>45374</v>
      </c>
      <c r="F50">
        <v>499</v>
      </c>
      <c r="G50" s="2">
        <v>45323</v>
      </c>
      <c r="H50">
        <v>27</v>
      </c>
      <c r="I50" t="str">
        <f t="shared" si="0"/>
        <v>High</v>
      </c>
      <c r="J50">
        <v>14</v>
      </c>
      <c r="K50" t="str">
        <f t="shared" si="1"/>
        <v>High</v>
      </c>
      <c r="L50" t="str">
        <f t="shared" si="3"/>
        <v>High</v>
      </c>
      <c r="M50" t="str">
        <f t="shared" si="2"/>
        <v>No</v>
      </c>
    </row>
    <row r="51" spans="1:13" x14ac:dyDescent="0.3">
      <c r="A51" t="s">
        <v>57</v>
      </c>
      <c r="B51" t="s">
        <v>7</v>
      </c>
      <c r="C51" s="1">
        <v>45346</v>
      </c>
      <c r="D51" s="1">
        <v>45375</v>
      </c>
      <c r="E51" s="1">
        <v>45363</v>
      </c>
      <c r="F51">
        <v>499</v>
      </c>
      <c r="G51" s="2">
        <v>45323</v>
      </c>
      <c r="H51">
        <v>40</v>
      </c>
      <c r="I51" t="str">
        <f t="shared" si="0"/>
        <v>High</v>
      </c>
      <c r="J51">
        <v>14</v>
      </c>
      <c r="K51" t="str">
        <f t="shared" si="1"/>
        <v>High</v>
      </c>
      <c r="L51" t="str">
        <f t="shared" si="3"/>
        <v>High</v>
      </c>
      <c r="M51" t="str">
        <f t="shared" si="2"/>
        <v>No</v>
      </c>
    </row>
    <row r="52" spans="1:13" x14ac:dyDescent="0.3">
      <c r="A52" t="s">
        <v>58</v>
      </c>
      <c r="B52" t="s">
        <v>10</v>
      </c>
      <c r="C52" s="1">
        <v>45347</v>
      </c>
      <c r="D52" s="1">
        <v>45713</v>
      </c>
      <c r="F52">
        <v>3999</v>
      </c>
      <c r="G52" s="2">
        <v>45323</v>
      </c>
      <c r="H52">
        <v>3</v>
      </c>
      <c r="I52" t="str">
        <f t="shared" si="0"/>
        <v>Medium</v>
      </c>
      <c r="J52">
        <v>5</v>
      </c>
      <c r="K52" t="str">
        <f t="shared" si="1"/>
        <v>High</v>
      </c>
      <c r="L52" t="str">
        <f t="shared" si="3"/>
        <v>High</v>
      </c>
      <c r="M52" t="str">
        <f t="shared" si="2"/>
        <v>No</v>
      </c>
    </row>
    <row r="53" spans="1:13" x14ac:dyDescent="0.3">
      <c r="A53" t="s">
        <v>59</v>
      </c>
      <c r="B53" t="s">
        <v>7</v>
      </c>
      <c r="C53" s="1">
        <v>45348</v>
      </c>
      <c r="D53" s="1">
        <v>45377</v>
      </c>
      <c r="F53">
        <v>499</v>
      </c>
      <c r="G53" s="2">
        <v>45323</v>
      </c>
      <c r="H53">
        <v>2</v>
      </c>
      <c r="I53" t="str">
        <f t="shared" si="0"/>
        <v>Medium</v>
      </c>
      <c r="J53">
        <v>4</v>
      </c>
      <c r="K53" t="str">
        <f t="shared" si="1"/>
        <v>High</v>
      </c>
      <c r="L53" t="str">
        <f t="shared" si="3"/>
        <v>High</v>
      </c>
      <c r="M53" t="str">
        <f t="shared" si="2"/>
        <v>No</v>
      </c>
    </row>
    <row r="54" spans="1:13" x14ac:dyDescent="0.3">
      <c r="A54" t="s">
        <v>60</v>
      </c>
      <c r="B54" t="s">
        <v>7</v>
      </c>
      <c r="C54" s="1">
        <v>45349</v>
      </c>
      <c r="D54" s="1">
        <v>45378</v>
      </c>
      <c r="E54" s="1">
        <v>45366</v>
      </c>
      <c r="F54">
        <v>499</v>
      </c>
      <c r="G54" s="2">
        <v>45323</v>
      </c>
      <c r="H54">
        <v>36</v>
      </c>
      <c r="I54" t="str">
        <f t="shared" si="0"/>
        <v>High</v>
      </c>
      <c r="J54">
        <v>12</v>
      </c>
      <c r="K54" t="str">
        <f t="shared" si="1"/>
        <v>High</v>
      </c>
      <c r="L54" t="str">
        <f t="shared" si="3"/>
        <v>High</v>
      </c>
      <c r="M54" t="str">
        <f t="shared" si="2"/>
        <v>No</v>
      </c>
    </row>
    <row r="55" spans="1:13" x14ac:dyDescent="0.3">
      <c r="A55" t="s">
        <v>61</v>
      </c>
      <c r="B55" t="s">
        <v>10</v>
      </c>
      <c r="C55" s="1">
        <v>45350</v>
      </c>
      <c r="D55" s="1">
        <v>45716</v>
      </c>
      <c r="F55">
        <v>3999</v>
      </c>
      <c r="G55" s="2">
        <v>45323</v>
      </c>
      <c r="H55">
        <v>27</v>
      </c>
      <c r="I55" t="str">
        <f t="shared" si="0"/>
        <v>High</v>
      </c>
      <c r="J55">
        <v>15</v>
      </c>
      <c r="K55" t="str">
        <f t="shared" si="1"/>
        <v>High</v>
      </c>
      <c r="L55" t="str">
        <f t="shared" si="3"/>
        <v>High</v>
      </c>
      <c r="M55" t="str">
        <f t="shared" si="2"/>
        <v>No</v>
      </c>
    </row>
    <row r="56" spans="1:13" x14ac:dyDescent="0.3">
      <c r="A56" t="s">
        <v>62</v>
      </c>
      <c r="B56" t="s">
        <v>7</v>
      </c>
      <c r="C56" s="1">
        <v>45352</v>
      </c>
      <c r="D56" s="1">
        <v>45383</v>
      </c>
      <c r="F56">
        <v>499</v>
      </c>
      <c r="G56" s="2">
        <v>45352</v>
      </c>
      <c r="H56">
        <v>40</v>
      </c>
      <c r="I56" t="str">
        <f t="shared" si="0"/>
        <v>High</v>
      </c>
      <c r="J56">
        <v>16</v>
      </c>
      <c r="K56" t="str">
        <f t="shared" si="1"/>
        <v>High</v>
      </c>
      <c r="L56" t="str">
        <f t="shared" si="3"/>
        <v>High</v>
      </c>
      <c r="M56" t="str">
        <f t="shared" si="2"/>
        <v>No</v>
      </c>
    </row>
    <row r="57" spans="1:13" x14ac:dyDescent="0.3">
      <c r="A57" t="s">
        <v>63</v>
      </c>
      <c r="B57" t="s">
        <v>7</v>
      </c>
      <c r="C57" s="1">
        <v>45353</v>
      </c>
      <c r="D57" s="1">
        <v>45384</v>
      </c>
      <c r="E57" s="1">
        <v>45371</v>
      </c>
      <c r="F57">
        <v>499</v>
      </c>
      <c r="G57" s="2">
        <v>45352</v>
      </c>
      <c r="H57">
        <v>2</v>
      </c>
      <c r="I57" t="str">
        <f t="shared" si="0"/>
        <v>Medium</v>
      </c>
      <c r="J57">
        <v>4</v>
      </c>
      <c r="K57" t="str">
        <f t="shared" si="1"/>
        <v>High</v>
      </c>
      <c r="L57" t="str">
        <f t="shared" si="3"/>
        <v>High</v>
      </c>
      <c r="M57" t="str">
        <f t="shared" si="2"/>
        <v>No</v>
      </c>
    </row>
    <row r="58" spans="1:13" x14ac:dyDescent="0.3">
      <c r="A58" t="s">
        <v>64</v>
      </c>
      <c r="B58" t="s">
        <v>10</v>
      </c>
      <c r="C58" s="1">
        <v>45354</v>
      </c>
      <c r="D58" s="1">
        <v>45719</v>
      </c>
      <c r="F58">
        <v>3999</v>
      </c>
      <c r="G58" s="2">
        <v>45352</v>
      </c>
      <c r="H58">
        <v>4</v>
      </c>
      <c r="I58" t="str">
        <f t="shared" si="0"/>
        <v>Medium</v>
      </c>
      <c r="J58">
        <v>4</v>
      </c>
      <c r="K58" t="str">
        <f t="shared" si="1"/>
        <v>High</v>
      </c>
      <c r="L58" t="str">
        <f t="shared" si="3"/>
        <v>High</v>
      </c>
      <c r="M58" t="str">
        <f t="shared" si="2"/>
        <v>No</v>
      </c>
    </row>
    <row r="59" spans="1:13" x14ac:dyDescent="0.3">
      <c r="A59" t="s">
        <v>65</v>
      </c>
      <c r="B59" t="s">
        <v>7</v>
      </c>
      <c r="C59" s="1">
        <v>45355</v>
      </c>
      <c r="D59" s="1">
        <v>45386</v>
      </c>
      <c r="F59">
        <v>499</v>
      </c>
      <c r="G59" s="2">
        <v>45352</v>
      </c>
      <c r="H59">
        <v>27</v>
      </c>
      <c r="I59" t="str">
        <f t="shared" si="0"/>
        <v>High</v>
      </c>
      <c r="J59">
        <v>15</v>
      </c>
      <c r="K59" t="str">
        <f t="shared" si="1"/>
        <v>High</v>
      </c>
      <c r="L59" t="str">
        <f t="shared" si="3"/>
        <v>High</v>
      </c>
      <c r="M59" t="str">
        <f t="shared" si="2"/>
        <v>No</v>
      </c>
    </row>
    <row r="60" spans="1:13" x14ac:dyDescent="0.3">
      <c r="A60" t="s">
        <v>66</v>
      </c>
      <c r="B60" t="s">
        <v>7</v>
      </c>
      <c r="C60" s="1">
        <v>45356</v>
      </c>
      <c r="D60" s="1">
        <v>45387</v>
      </c>
      <c r="E60" s="1">
        <v>45376</v>
      </c>
      <c r="F60">
        <v>499</v>
      </c>
      <c r="G60" s="2">
        <v>45352</v>
      </c>
      <c r="H60">
        <v>32</v>
      </c>
      <c r="I60" t="str">
        <f t="shared" si="0"/>
        <v>High</v>
      </c>
      <c r="J60">
        <v>12</v>
      </c>
      <c r="K60" t="str">
        <f t="shared" si="1"/>
        <v>High</v>
      </c>
      <c r="L60" t="str">
        <f t="shared" si="3"/>
        <v>High</v>
      </c>
      <c r="M60" t="str">
        <f t="shared" si="2"/>
        <v>No</v>
      </c>
    </row>
    <row r="61" spans="1:13" x14ac:dyDescent="0.3">
      <c r="A61" t="s">
        <v>67</v>
      </c>
      <c r="B61" t="s">
        <v>10</v>
      </c>
      <c r="C61" s="1">
        <v>45357</v>
      </c>
      <c r="D61" s="1">
        <v>45722</v>
      </c>
      <c r="F61">
        <v>3999</v>
      </c>
      <c r="G61" s="2">
        <v>45352</v>
      </c>
      <c r="H61">
        <v>43</v>
      </c>
      <c r="I61" t="str">
        <f t="shared" si="0"/>
        <v>High</v>
      </c>
      <c r="J61">
        <v>16</v>
      </c>
      <c r="K61" t="str">
        <f t="shared" si="1"/>
        <v>High</v>
      </c>
      <c r="L61" t="str">
        <f t="shared" si="3"/>
        <v>High</v>
      </c>
      <c r="M61" t="str">
        <f t="shared" si="2"/>
        <v>No</v>
      </c>
    </row>
    <row r="62" spans="1:13" x14ac:dyDescent="0.3">
      <c r="A62" t="s">
        <v>68</v>
      </c>
      <c r="B62" t="s">
        <v>7</v>
      </c>
      <c r="C62" s="1">
        <v>45358</v>
      </c>
      <c r="D62" s="1">
        <v>45389</v>
      </c>
      <c r="F62">
        <v>499</v>
      </c>
      <c r="G62" s="2">
        <v>45352</v>
      </c>
      <c r="H62">
        <v>8</v>
      </c>
      <c r="I62" t="str">
        <f t="shared" si="0"/>
        <v>High</v>
      </c>
      <c r="J62">
        <v>6</v>
      </c>
      <c r="K62" t="str">
        <f t="shared" si="1"/>
        <v>High</v>
      </c>
      <c r="L62" t="str">
        <f t="shared" si="3"/>
        <v>High</v>
      </c>
      <c r="M62" t="str">
        <f t="shared" si="2"/>
        <v>No</v>
      </c>
    </row>
    <row r="63" spans="1:13" x14ac:dyDescent="0.3">
      <c r="A63" t="s">
        <v>69</v>
      </c>
      <c r="B63" t="s">
        <v>7</v>
      </c>
      <c r="C63" s="1">
        <v>45359</v>
      </c>
      <c r="D63" s="1">
        <v>45390</v>
      </c>
      <c r="E63" s="1">
        <v>45379</v>
      </c>
      <c r="F63">
        <v>499</v>
      </c>
      <c r="G63" s="2">
        <v>45352</v>
      </c>
      <c r="H63">
        <v>4</v>
      </c>
      <c r="I63" t="str">
        <f t="shared" si="0"/>
        <v>Medium</v>
      </c>
      <c r="J63">
        <v>2</v>
      </c>
      <c r="K63" t="str">
        <f t="shared" si="1"/>
        <v>Medium</v>
      </c>
      <c r="L63" t="str">
        <f t="shared" si="3"/>
        <v>Medium</v>
      </c>
      <c r="M63" t="str">
        <f t="shared" si="2"/>
        <v>No</v>
      </c>
    </row>
    <row r="64" spans="1:13" x14ac:dyDescent="0.3">
      <c r="A64" t="s">
        <v>70</v>
      </c>
      <c r="B64" t="s">
        <v>10</v>
      </c>
      <c r="C64" s="1">
        <v>45360</v>
      </c>
      <c r="D64" s="1">
        <v>45725</v>
      </c>
      <c r="F64">
        <v>3999</v>
      </c>
      <c r="G64" s="2">
        <v>45352</v>
      </c>
      <c r="H64">
        <v>30</v>
      </c>
      <c r="I64" t="str">
        <f t="shared" si="0"/>
        <v>High</v>
      </c>
      <c r="J64">
        <v>14</v>
      </c>
      <c r="K64" t="str">
        <f t="shared" si="1"/>
        <v>High</v>
      </c>
      <c r="L64" t="str">
        <f t="shared" si="3"/>
        <v>High</v>
      </c>
      <c r="M64" t="str">
        <f t="shared" si="2"/>
        <v>No</v>
      </c>
    </row>
    <row r="65" spans="1:13" x14ac:dyDescent="0.3">
      <c r="A65" t="s">
        <v>71</v>
      </c>
      <c r="B65" t="s">
        <v>7</v>
      </c>
      <c r="C65" s="1">
        <v>45361</v>
      </c>
      <c r="D65" s="1">
        <v>45392</v>
      </c>
      <c r="F65">
        <v>499</v>
      </c>
      <c r="G65" s="2">
        <v>45352</v>
      </c>
      <c r="H65">
        <v>32</v>
      </c>
      <c r="I65" t="str">
        <f t="shared" si="0"/>
        <v>High</v>
      </c>
      <c r="J65">
        <v>12</v>
      </c>
      <c r="K65" t="str">
        <f t="shared" si="1"/>
        <v>High</v>
      </c>
      <c r="L65" t="str">
        <f t="shared" si="3"/>
        <v>High</v>
      </c>
      <c r="M65" t="str">
        <f t="shared" si="2"/>
        <v>No</v>
      </c>
    </row>
    <row r="66" spans="1:13" x14ac:dyDescent="0.3">
      <c r="A66" t="s">
        <v>72</v>
      </c>
      <c r="B66" t="s">
        <v>7</v>
      </c>
      <c r="C66" s="1">
        <v>45362</v>
      </c>
      <c r="D66" s="1">
        <v>45393</v>
      </c>
      <c r="E66" s="1">
        <v>45381</v>
      </c>
      <c r="F66">
        <v>499</v>
      </c>
      <c r="G66" s="2">
        <v>45352</v>
      </c>
      <c r="H66">
        <v>37</v>
      </c>
      <c r="I66" t="str">
        <f t="shared" si="0"/>
        <v>High</v>
      </c>
      <c r="J66">
        <v>15</v>
      </c>
      <c r="K66" t="str">
        <f t="shared" si="1"/>
        <v>High</v>
      </c>
      <c r="L66" t="str">
        <f t="shared" si="3"/>
        <v>High</v>
      </c>
      <c r="M66" t="str">
        <f t="shared" si="2"/>
        <v>No</v>
      </c>
    </row>
    <row r="67" spans="1:13" x14ac:dyDescent="0.3">
      <c r="A67" t="s">
        <v>73</v>
      </c>
      <c r="B67" t="s">
        <v>10</v>
      </c>
      <c r="C67" s="1">
        <v>45363</v>
      </c>
      <c r="D67" s="1">
        <v>45728</v>
      </c>
      <c r="F67">
        <v>3999</v>
      </c>
      <c r="G67" s="2">
        <v>45352</v>
      </c>
      <c r="H67">
        <v>1</v>
      </c>
      <c r="I67" t="str">
        <f t="shared" ref="I67:I130" si="4">IF(H67&lt;=1,"Low",IF(H67&lt;=4,"Medium","High"))</f>
        <v>Low</v>
      </c>
      <c r="J67">
        <v>10</v>
      </c>
      <c r="K67" t="str">
        <f t="shared" ref="K67:K130" si="5">IF(J67&lt;=1,"Low",IF(J67=2,"Medium","High"))</f>
        <v>High</v>
      </c>
      <c r="L67" t="str">
        <f t="shared" ref="L67:L130" si="6">IF(OR(I67="High",K67="High"),"High",
IF(OR(I67="Medium",K67="Medium"),"Medium",
"Low"))</f>
        <v>High</v>
      </c>
      <c r="M67" t="str">
        <f t="shared" ref="M67:M130" si="7">IF(AND(TRIM(I67)="High",TRIM(L67)="Low"),"Yes","No")</f>
        <v>No</v>
      </c>
    </row>
    <row r="68" spans="1:13" x14ac:dyDescent="0.3">
      <c r="A68" t="s">
        <v>74</v>
      </c>
      <c r="B68" t="s">
        <v>7</v>
      </c>
      <c r="C68" s="1">
        <v>45364</v>
      </c>
      <c r="D68" s="1">
        <v>45395</v>
      </c>
      <c r="F68">
        <v>499</v>
      </c>
      <c r="G68" s="2">
        <v>45352</v>
      </c>
      <c r="H68">
        <v>3</v>
      </c>
      <c r="I68" t="str">
        <f t="shared" si="4"/>
        <v>Medium</v>
      </c>
      <c r="J68">
        <v>9</v>
      </c>
      <c r="K68" t="str">
        <f t="shared" si="5"/>
        <v>High</v>
      </c>
      <c r="L68" t="str">
        <f t="shared" si="6"/>
        <v>High</v>
      </c>
      <c r="M68" t="str">
        <f t="shared" si="7"/>
        <v>No</v>
      </c>
    </row>
    <row r="69" spans="1:13" x14ac:dyDescent="0.3">
      <c r="A69" t="s">
        <v>75</v>
      </c>
      <c r="B69" t="s">
        <v>7</v>
      </c>
      <c r="C69" s="1">
        <v>45365</v>
      </c>
      <c r="D69" s="1">
        <v>45396</v>
      </c>
      <c r="E69" s="1">
        <v>45384</v>
      </c>
      <c r="F69">
        <v>499</v>
      </c>
      <c r="G69" s="2">
        <v>45352</v>
      </c>
      <c r="H69">
        <v>33</v>
      </c>
      <c r="I69" t="str">
        <f t="shared" si="4"/>
        <v>High</v>
      </c>
      <c r="J69">
        <v>11</v>
      </c>
      <c r="K69" t="str">
        <f t="shared" si="5"/>
        <v>High</v>
      </c>
      <c r="L69" t="str">
        <f t="shared" si="6"/>
        <v>High</v>
      </c>
      <c r="M69" t="str">
        <f t="shared" si="7"/>
        <v>No</v>
      </c>
    </row>
    <row r="70" spans="1:13" x14ac:dyDescent="0.3">
      <c r="A70" t="s">
        <v>76</v>
      </c>
      <c r="B70" t="s">
        <v>10</v>
      </c>
      <c r="C70" s="1">
        <v>45366</v>
      </c>
      <c r="D70" s="1">
        <v>45731</v>
      </c>
      <c r="F70">
        <v>3999</v>
      </c>
      <c r="G70" s="2">
        <v>45352</v>
      </c>
      <c r="H70">
        <v>33</v>
      </c>
      <c r="I70" t="str">
        <f t="shared" si="4"/>
        <v>High</v>
      </c>
      <c r="J70">
        <v>8</v>
      </c>
      <c r="K70" t="str">
        <f t="shared" si="5"/>
        <v>High</v>
      </c>
      <c r="L70" t="str">
        <f t="shared" si="6"/>
        <v>High</v>
      </c>
      <c r="M70" t="str">
        <f t="shared" si="7"/>
        <v>No</v>
      </c>
    </row>
    <row r="71" spans="1:13" x14ac:dyDescent="0.3">
      <c r="A71" t="s">
        <v>77</v>
      </c>
      <c r="B71" t="s">
        <v>7</v>
      </c>
      <c r="C71" s="1">
        <v>45367</v>
      </c>
      <c r="D71" s="1">
        <v>45398</v>
      </c>
      <c r="F71">
        <v>499</v>
      </c>
      <c r="G71" s="2">
        <v>45352</v>
      </c>
      <c r="H71">
        <v>39</v>
      </c>
      <c r="I71" t="str">
        <f t="shared" si="4"/>
        <v>High</v>
      </c>
      <c r="J71">
        <v>14</v>
      </c>
      <c r="K71" t="str">
        <f t="shared" si="5"/>
        <v>High</v>
      </c>
      <c r="L71" t="str">
        <f t="shared" si="6"/>
        <v>High</v>
      </c>
      <c r="M71" t="str">
        <f t="shared" si="7"/>
        <v>No</v>
      </c>
    </row>
    <row r="72" spans="1:13" x14ac:dyDescent="0.3">
      <c r="A72" t="s">
        <v>78</v>
      </c>
      <c r="B72" t="s">
        <v>7</v>
      </c>
      <c r="C72" s="1">
        <v>45368</v>
      </c>
      <c r="D72" s="1">
        <v>45399</v>
      </c>
      <c r="E72" s="1">
        <v>45387</v>
      </c>
      <c r="F72">
        <v>499</v>
      </c>
      <c r="G72" s="2">
        <v>45352</v>
      </c>
      <c r="H72">
        <v>3</v>
      </c>
      <c r="I72" t="str">
        <f t="shared" si="4"/>
        <v>Medium</v>
      </c>
      <c r="J72">
        <v>6</v>
      </c>
      <c r="K72" t="str">
        <f t="shared" si="5"/>
        <v>High</v>
      </c>
      <c r="L72" t="str">
        <f t="shared" si="6"/>
        <v>High</v>
      </c>
      <c r="M72" t="str">
        <f t="shared" si="7"/>
        <v>No</v>
      </c>
    </row>
    <row r="73" spans="1:13" x14ac:dyDescent="0.3">
      <c r="A73" t="s">
        <v>79</v>
      </c>
      <c r="B73" t="s">
        <v>10</v>
      </c>
      <c r="C73" s="1">
        <v>45369</v>
      </c>
      <c r="D73" s="1">
        <v>45734</v>
      </c>
      <c r="F73">
        <v>3999</v>
      </c>
      <c r="G73" s="2">
        <v>45352</v>
      </c>
      <c r="H73">
        <v>4</v>
      </c>
      <c r="I73" t="str">
        <f t="shared" si="4"/>
        <v>Medium</v>
      </c>
      <c r="J73">
        <v>7</v>
      </c>
      <c r="K73" t="str">
        <f t="shared" si="5"/>
        <v>High</v>
      </c>
      <c r="L73" t="str">
        <f t="shared" si="6"/>
        <v>High</v>
      </c>
      <c r="M73" t="str">
        <f t="shared" si="7"/>
        <v>No</v>
      </c>
    </row>
    <row r="74" spans="1:13" x14ac:dyDescent="0.3">
      <c r="A74" t="s">
        <v>80</v>
      </c>
      <c r="B74" t="s">
        <v>7</v>
      </c>
      <c r="C74" s="1">
        <v>45370</v>
      </c>
      <c r="D74" s="1">
        <v>45401</v>
      </c>
      <c r="F74">
        <v>499</v>
      </c>
      <c r="G74" s="2">
        <v>45352</v>
      </c>
      <c r="H74">
        <v>38</v>
      </c>
      <c r="I74" t="str">
        <f t="shared" si="4"/>
        <v>High</v>
      </c>
      <c r="J74">
        <v>15</v>
      </c>
      <c r="K74" t="str">
        <f t="shared" si="5"/>
        <v>High</v>
      </c>
      <c r="L74" t="str">
        <f t="shared" si="6"/>
        <v>High</v>
      </c>
      <c r="M74" t="str">
        <f t="shared" si="7"/>
        <v>No</v>
      </c>
    </row>
    <row r="75" spans="1:13" x14ac:dyDescent="0.3">
      <c r="A75" t="s">
        <v>81</v>
      </c>
      <c r="B75" t="s">
        <v>7</v>
      </c>
      <c r="C75" s="1">
        <v>45371</v>
      </c>
      <c r="D75" s="1">
        <v>45402</v>
      </c>
      <c r="E75" s="1">
        <v>45390</v>
      </c>
      <c r="F75">
        <v>499</v>
      </c>
      <c r="G75" s="2">
        <v>45352</v>
      </c>
      <c r="H75">
        <v>31</v>
      </c>
      <c r="I75" t="str">
        <f t="shared" si="4"/>
        <v>High</v>
      </c>
      <c r="J75">
        <v>9</v>
      </c>
      <c r="K75" t="str">
        <f t="shared" si="5"/>
        <v>High</v>
      </c>
      <c r="L75" t="str">
        <f t="shared" si="6"/>
        <v>High</v>
      </c>
      <c r="M75" t="str">
        <f t="shared" si="7"/>
        <v>No</v>
      </c>
    </row>
    <row r="76" spans="1:13" x14ac:dyDescent="0.3">
      <c r="A76" t="s">
        <v>82</v>
      </c>
      <c r="B76" t="s">
        <v>10</v>
      </c>
      <c r="C76" s="1">
        <v>45372</v>
      </c>
      <c r="D76" s="1">
        <v>45737</v>
      </c>
      <c r="F76">
        <v>3999</v>
      </c>
      <c r="G76" s="2">
        <v>45352</v>
      </c>
      <c r="H76">
        <v>33</v>
      </c>
      <c r="I76" t="str">
        <f t="shared" si="4"/>
        <v>High</v>
      </c>
      <c r="J76">
        <v>12</v>
      </c>
      <c r="K76" t="str">
        <f t="shared" si="5"/>
        <v>High</v>
      </c>
      <c r="L76" t="str">
        <f t="shared" si="6"/>
        <v>High</v>
      </c>
      <c r="M76" t="str">
        <f t="shared" si="7"/>
        <v>No</v>
      </c>
    </row>
    <row r="77" spans="1:13" x14ac:dyDescent="0.3">
      <c r="A77" t="s">
        <v>83</v>
      </c>
      <c r="B77" t="s">
        <v>7</v>
      </c>
      <c r="C77" s="1">
        <v>45373</v>
      </c>
      <c r="D77" s="1">
        <v>45404</v>
      </c>
      <c r="F77">
        <v>499</v>
      </c>
      <c r="G77" s="2">
        <v>45352</v>
      </c>
      <c r="H77">
        <v>2</v>
      </c>
      <c r="I77" t="str">
        <f t="shared" si="4"/>
        <v>Medium</v>
      </c>
      <c r="J77">
        <v>13</v>
      </c>
      <c r="K77" t="str">
        <f t="shared" si="5"/>
        <v>High</v>
      </c>
      <c r="L77" t="str">
        <f t="shared" si="6"/>
        <v>High</v>
      </c>
      <c r="M77" t="str">
        <f t="shared" si="7"/>
        <v>No</v>
      </c>
    </row>
    <row r="78" spans="1:13" x14ac:dyDescent="0.3">
      <c r="A78" t="s">
        <v>84</v>
      </c>
      <c r="B78" t="s">
        <v>7</v>
      </c>
      <c r="C78" s="1">
        <v>45374</v>
      </c>
      <c r="D78" s="1">
        <v>45405</v>
      </c>
      <c r="E78" s="1">
        <v>45392</v>
      </c>
      <c r="F78">
        <v>499</v>
      </c>
      <c r="G78" s="2">
        <v>45352</v>
      </c>
      <c r="H78">
        <v>3</v>
      </c>
      <c r="I78" t="str">
        <f t="shared" si="4"/>
        <v>Medium</v>
      </c>
      <c r="J78">
        <v>11</v>
      </c>
      <c r="K78" t="str">
        <f t="shared" si="5"/>
        <v>High</v>
      </c>
      <c r="L78" t="str">
        <f t="shared" si="6"/>
        <v>High</v>
      </c>
      <c r="M78" t="str">
        <f t="shared" si="7"/>
        <v>No</v>
      </c>
    </row>
    <row r="79" spans="1:13" x14ac:dyDescent="0.3">
      <c r="A79" t="s">
        <v>85</v>
      </c>
      <c r="B79" t="s">
        <v>10</v>
      </c>
      <c r="C79" s="1">
        <v>45375</v>
      </c>
      <c r="D79" s="1">
        <v>45740</v>
      </c>
      <c r="F79">
        <v>3999</v>
      </c>
      <c r="G79" s="2">
        <v>45352</v>
      </c>
      <c r="H79">
        <v>37</v>
      </c>
      <c r="I79" t="str">
        <f t="shared" si="4"/>
        <v>High</v>
      </c>
      <c r="J79">
        <v>10</v>
      </c>
      <c r="K79" t="str">
        <f t="shared" si="5"/>
        <v>High</v>
      </c>
      <c r="L79" t="str">
        <f t="shared" si="6"/>
        <v>High</v>
      </c>
      <c r="M79" t="str">
        <f t="shared" si="7"/>
        <v>No</v>
      </c>
    </row>
    <row r="80" spans="1:13" x14ac:dyDescent="0.3">
      <c r="A80" t="s">
        <v>86</v>
      </c>
      <c r="B80" t="s">
        <v>7</v>
      </c>
      <c r="C80" s="1">
        <v>45376</v>
      </c>
      <c r="D80" s="1">
        <v>45407</v>
      </c>
      <c r="F80">
        <v>499</v>
      </c>
      <c r="G80" s="2">
        <v>45352</v>
      </c>
      <c r="H80">
        <v>29</v>
      </c>
      <c r="I80" t="str">
        <f t="shared" si="4"/>
        <v>High</v>
      </c>
      <c r="J80">
        <v>14</v>
      </c>
      <c r="K80" t="str">
        <f t="shared" si="5"/>
        <v>High</v>
      </c>
      <c r="L80" t="str">
        <f t="shared" si="6"/>
        <v>High</v>
      </c>
      <c r="M80" t="str">
        <f t="shared" si="7"/>
        <v>No</v>
      </c>
    </row>
    <row r="81" spans="1:13" x14ac:dyDescent="0.3">
      <c r="A81" t="s">
        <v>87</v>
      </c>
      <c r="B81" t="s">
        <v>7</v>
      </c>
      <c r="C81" s="1">
        <v>45377</v>
      </c>
      <c r="D81" s="1">
        <v>45408</v>
      </c>
      <c r="E81" s="1">
        <v>45394</v>
      </c>
      <c r="F81">
        <v>499</v>
      </c>
      <c r="G81" s="2">
        <v>45352</v>
      </c>
      <c r="H81">
        <v>43</v>
      </c>
      <c r="I81" t="str">
        <f t="shared" si="4"/>
        <v>High</v>
      </c>
      <c r="J81">
        <v>16</v>
      </c>
      <c r="K81" t="str">
        <f t="shared" si="5"/>
        <v>High</v>
      </c>
      <c r="L81" t="str">
        <f t="shared" si="6"/>
        <v>High</v>
      </c>
      <c r="M81" t="str">
        <f t="shared" si="7"/>
        <v>No</v>
      </c>
    </row>
    <row r="82" spans="1:13" x14ac:dyDescent="0.3">
      <c r="A82" t="s">
        <v>88</v>
      </c>
      <c r="B82" t="s">
        <v>10</v>
      </c>
      <c r="C82" s="1">
        <v>45378</v>
      </c>
      <c r="D82" s="1">
        <v>45743</v>
      </c>
      <c r="F82">
        <v>3999</v>
      </c>
      <c r="G82" s="2">
        <v>45352</v>
      </c>
      <c r="H82">
        <v>5</v>
      </c>
      <c r="I82" t="str">
        <f t="shared" si="4"/>
        <v>High</v>
      </c>
      <c r="J82">
        <v>8</v>
      </c>
      <c r="K82" t="str">
        <f t="shared" si="5"/>
        <v>High</v>
      </c>
      <c r="L82" t="str">
        <f t="shared" si="6"/>
        <v>High</v>
      </c>
      <c r="M82" t="str">
        <f t="shared" si="7"/>
        <v>No</v>
      </c>
    </row>
    <row r="83" spans="1:13" x14ac:dyDescent="0.3">
      <c r="A83" t="s">
        <v>89</v>
      </c>
      <c r="B83" t="s">
        <v>7</v>
      </c>
      <c r="C83" s="1">
        <v>45379</v>
      </c>
      <c r="D83" s="1">
        <v>45410</v>
      </c>
      <c r="F83">
        <v>499</v>
      </c>
      <c r="G83" s="2">
        <v>45352</v>
      </c>
      <c r="H83">
        <v>4</v>
      </c>
      <c r="I83" t="str">
        <f t="shared" si="4"/>
        <v>Medium</v>
      </c>
      <c r="J83">
        <v>9</v>
      </c>
      <c r="K83" t="str">
        <f t="shared" si="5"/>
        <v>High</v>
      </c>
      <c r="L83" t="str">
        <f t="shared" si="6"/>
        <v>High</v>
      </c>
      <c r="M83" t="str">
        <f t="shared" si="7"/>
        <v>No</v>
      </c>
    </row>
    <row r="84" spans="1:13" x14ac:dyDescent="0.3">
      <c r="A84" t="s">
        <v>90</v>
      </c>
      <c r="B84" t="s">
        <v>7</v>
      </c>
      <c r="C84" s="1">
        <v>45380</v>
      </c>
      <c r="D84" s="1">
        <v>45411</v>
      </c>
      <c r="E84" s="1">
        <v>45397</v>
      </c>
      <c r="F84">
        <v>499</v>
      </c>
      <c r="G84" s="2">
        <v>45352</v>
      </c>
      <c r="H84">
        <v>39</v>
      </c>
      <c r="I84" t="str">
        <f t="shared" si="4"/>
        <v>High</v>
      </c>
      <c r="J84">
        <v>12</v>
      </c>
      <c r="K84" t="str">
        <f t="shared" si="5"/>
        <v>High</v>
      </c>
      <c r="L84" t="str">
        <f t="shared" si="6"/>
        <v>High</v>
      </c>
      <c r="M84" t="str">
        <f t="shared" si="7"/>
        <v>No</v>
      </c>
    </row>
    <row r="85" spans="1:13" x14ac:dyDescent="0.3">
      <c r="A85" t="s">
        <v>91</v>
      </c>
      <c r="B85" t="s">
        <v>10</v>
      </c>
      <c r="C85" s="1">
        <v>45381</v>
      </c>
      <c r="D85" s="1">
        <v>45746</v>
      </c>
      <c r="F85">
        <v>3999</v>
      </c>
      <c r="G85" s="2">
        <v>45352</v>
      </c>
      <c r="H85">
        <v>33</v>
      </c>
      <c r="I85" t="str">
        <f t="shared" si="4"/>
        <v>High</v>
      </c>
      <c r="J85">
        <v>15</v>
      </c>
      <c r="K85" t="str">
        <f t="shared" si="5"/>
        <v>High</v>
      </c>
      <c r="L85" t="str">
        <f t="shared" si="6"/>
        <v>High</v>
      </c>
      <c r="M85" t="str">
        <f t="shared" si="7"/>
        <v>No</v>
      </c>
    </row>
    <row r="86" spans="1:13" x14ac:dyDescent="0.3">
      <c r="A86" t="s">
        <v>92</v>
      </c>
      <c r="B86" t="s">
        <v>7</v>
      </c>
      <c r="C86" s="1">
        <v>45382</v>
      </c>
      <c r="D86" s="1">
        <v>45412</v>
      </c>
      <c r="F86">
        <v>499</v>
      </c>
      <c r="G86" s="2">
        <v>45352</v>
      </c>
      <c r="H86">
        <v>39</v>
      </c>
      <c r="I86" t="str">
        <f t="shared" si="4"/>
        <v>High</v>
      </c>
      <c r="J86">
        <v>16</v>
      </c>
      <c r="K86" t="str">
        <f t="shared" si="5"/>
        <v>High</v>
      </c>
      <c r="L86" t="str">
        <f t="shared" si="6"/>
        <v>High</v>
      </c>
      <c r="M86" t="str">
        <f t="shared" si="7"/>
        <v>No</v>
      </c>
    </row>
    <row r="87" spans="1:13" x14ac:dyDescent="0.3">
      <c r="A87" t="s">
        <v>93</v>
      </c>
      <c r="B87" t="s">
        <v>7</v>
      </c>
      <c r="C87" s="1">
        <v>45383</v>
      </c>
      <c r="D87" s="1">
        <v>45413</v>
      </c>
      <c r="E87" s="1">
        <v>45400</v>
      </c>
      <c r="F87">
        <v>499</v>
      </c>
      <c r="G87" s="2">
        <v>45383</v>
      </c>
      <c r="H87">
        <v>5</v>
      </c>
      <c r="I87" t="str">
        <f t="shared" si="4"/>
        <v>High</v>
      </c>
      <c r="J87">
        <v>3</v>
      </c>
      <c r="K87" t="str">
        <f t="shared" si="5"/>
        <v>High</v>
      </c>
      <c r="L87" t="str">
        <f t="shared" si="6"/>
        <v>High</v>
      </c>
      <c r="M87" t="str">
        <f t="shared" si="7"/>
        <v>No</v>
      </c>
    </row>
    <row r="88" spans="1:13" x14ac:dyDescent="0.3">
      <c r="A88" t="s">
        <v>94</v>
      </c>
      <c r="B88" t="s">
        <v>10</v>
      </c>
      <c r="C88" s="1">
        <v>45384</v>
      </c>
      <c r="D88" s="1">
        <v>45749</v>
      </c>
      <c r="F88">
        <v>3999</v>
      </c>
      <c r="G88" s="2">
        <v>45383</v>
      </c>
      <c r="H88">
        <v>6</v>
      </c>
      <c r="I88" t="str">
        <f t="shared" si="4"/>
        <v>High</v>
      </c>
      <c r="J88">
        <v>4</v>
      </c>
      <c r="K88" t="str">
        <f t="shared" si="5"/>
        <v>High</v>
      </c>
      <c r="L88" t="str">
        <f t="shared" si="6"/>
        <v>High</v>
      </c>
      <c r="M88" t="str">
        <f t="shared" si="7"/>
        <v>No</v>
      </c>
    </row>
    <row r="89" spans="1:13" x14ac:dyDescent="0.3">
      <c r="A89" t="s">
        <v>95</v>
      </c>
      <c r="B89" t="s">
        <v>7</v>
      </c>
      <c r="C89" s="1">
        <v>45385</v>
      </c>
      <c r="D89" s="1">
        <v>45415</v>
      </c>
      <c r="F89">
        <v>499</v>
      </c>
      <c r="G89" s="2">
        <v>45383</v>
      </c>
      <c r="H89">
        <v>31</v>
      </c>
      <c r="I89" t="str">
        <f t="shared" si="4"/>
        <v>High</v>
      </c>
      <c r="J89">
        <v>13</v>
      </c>
      <c r="K89" t="str">
        <f t="shared" si="5"/>
        <v>High</v>
      </c>
      <c r="L89" t="str">
        <f t="shared" si="6"/>
        <v>High</v>
      </c>
      <c r="M89" t="str">
        <f t="shared" si="7"/>
        <v>No</v>
      </c>
    </row>
    <row r="90" spans="1:13" x14ac:dyDescent="0.3">
      <c r="A90" t="s">
        <v>96</v>
      </c>
      <c r="B90" t="s">
        <v>7</v>
      </c>
      <c r="C90" s="1">
        <v>45386</v>
      </c>
      <c r="D90" s="1">
        <v>45416</v>
      </c>
      <c r="E90" s="1">
        <v>45404</v>
      </c>
      <c r="F90">
        <v>499</v>
      </c>
      <c r="G90" s="2">
        <v>45383</v>
      </c>
      <c r="H90">
        <v>34</v>
      </c>
      <c r="I90" t="str">
        <f t="shared" si="4"/>
        <v>High</v>
      </c>
      <c r="J90">
        <v>16</v>
      </c>
      <c r="K90" t="str">
        <f t="shared" si="5"/>
        <v>High</v>
      </c>
      <c r="L90" t="str">
        <f t="shared" si="6"/>
        <v>High</v>
      </c>
      <c r="M90" t="str">
        <f t="shared" si="7"/>
        <v>No</v>
      </c>
    </row>
    <row r="91" spans="1:13" x14ac:dyDescent="0.3">
      <c r="A91" t="s">
        <v>97</v>
      </c>
      <c r="B91" t="s">
        <v>10</v>
      </c>
      <c r="C91" s="1">
        <v>45387</v>
      </c>
      <c r="D91" s="1">
        <v>45752</v>
      </c>
      <c r="F91">
        <v>3999</v>
      </c>
      <c r="G91" s="2">
        <v>45383</v>
      </c>
      <c r="H91">
        <v>40</v>
      </c>
      <c r="I91" t="str">
        <f t="shared" si="4"/>
        <v>High</v>
      </c>
      <c r="J91">
        <v>16</v>
      </c>
      <c r="K91" t="str">
        <f t="shared" si="5"/>
        <v>High</v>
      </c>
      <c r="L91" t="str">
        <f t="shared" si="6"/>
        <v>High</v>
      </c>
      <c r="M91" t="str">
        <f t="shared" si="7"/>
        <v>No</v>
      </c>
    </row>
    <row r="92" spans="1:13" x14ac:dyDescent="0.3">
      <c r="A92" t="s">
        <v>98</v>
      </c>
      <c r="B92" t="s">
        <v>7</v>
      </c>
      <c r="C92" s="1">
        <v>45388</v>
      </c>
      <c r="D92" s="1">
        <v>45418</v>
      </c>
      <c r="F92">
        <v>499</v>
      </c>
      <c r="G92" s="2">
        <v>45383</v>
      </c>
      <c r="H92">
        <v>7</v>
      </c>
      <c r="I92" t="str">
        <f t="shared" si="4"/>
        <v>High</v>
      </c>
      <c r="J92">
        <v>4</v>
      </c>
      <c r="K92" t="str">
        <f t="shared" si="5"/>
        <v>High</v>
      </c>
      <c r="L92" t="str">
        <f t="shared" si="6"/>
        <v>High</v>
      </c>
      <c r="M92" t="str">
        <f t="shared" si="7"/>
        <v>No</v>
      </c>
    </row>
    <row r="93" spans="1:13" x14ac:dyDescent="0.3">
      <c r="A93" t="s">
        <v>99</v>
      </c>
      <c r="B93" t="s">
        <v>7</v>
      </c>
      <c r="C93" s="1">
        <v>45389</v>
      </c>
      <c r="D93" s="1">
        <v>45419</v>
      </c>
      <c r="E93" s="1">
        <v>45407</v>
      </c>
      <c r="F93">
        <v>499</v>
      </c>
      <c r="G93" s="2">
        <v>45383</v>
      </c>
      <c r="H93">
        <v>1</v>
      </c>
      <c r="I93" t="str">
        <f t="shared" si="4"/>
        <v>Low</v>
      </c>
      <c r="J93">
        <v>3</v>
      </c>
      <c r="K93" t="str">
        <f t="shared" si="5"/>
        <v>High</v>
      </c>
      <c r="L93" t="str">
        <f t="shared" si="6"/>
        <v>High</v>
      </c>
      <c r="M93" t="str">
        <f t="shared" si="7"/>
        <v>No</v>
      </c>
    </row>
    <row r="94" spans="1:13" x14ac:dyDescent="0.3">
      <c r="A94" t="s">
        <v>100</v>
      </c>
      <c r="B94" t="s">
        <v>10</v>
      </c>
      <c r="C94" s="1">
        <v>45390</v>
      </c>
      <c r="D94" s="1">
        <v>45755</v>
      </c>
      <c r="F94">
        <v>3999</v>
      </c>
      <c r="G94" s="2">
        <v>45383</v>
      </c>
      <c r="H94">
        <v>36</v>
      </c>
      <c r="I94" t="str">
        <f t="shared" si="4"/>
        <v>High</v>
      </c>
      <c r="J94">
        <v>13</v>
      </c>
      <c r="K94" t="str">
        <f t="shared" si="5"/>
        <v>High</v>
      </c>
      <c r="L94" t="str">
        <f t="shared" si="6"/>
        <v>High</v>
      </c>
      <c r="M94" t="str">
        <f t="shared" si="7"/>
        <v>No</v>
      </c>
    </row>
    <row r="95" spans="1:13" x14ac:dyDescent="0.3">
      <c r="A95" t="s">
        <v>101</v>
      </c>
      <c r="B95" t="s">
        <v>7</v>
      </c>
      <c r="C95" s="1">
        <v>45391</v>
      </c>
      <c r="D95" s="1">
        <v>45421</v>
      </c>
      <c r="F95">
        <v>499</v>
      </c>
      <c r="G95" s="2">
        <v>45383</v>
      </c>
      <c r="H95">
        <v>29</v>
      </c>
      <c r="I95" t="str">
        <f t="shared" si="4"/>
        <v>High</v>
      </c>
      <c r="J95">
        <v>14</v>
      </c>
      <c r="K95" t="str">
        <f t="shared" si="5"/>
        <v>High</v>
      </c>
      <c r="L95" t="str">
        <f t="shared" si="6"/>
        <v>High</v>
      </c>
      <c r="M95" t="str">
        <f t="shared" si="7"/>
        <v>No</v>
      </c>
    </row>
    <row r="96" spans="1:13" x14ac:dyDescent="0.3">
      <c r="A96" t="s">
        <v>102</v>
      </c>
      <c r="B96" t="s">
        <v>7</v>
      </c>
      <c r="C96" s="1">
        <v>45392</v>
      </c>
      <c r="D96" s="1">
        <v>45422</v>
      </c>
      <c r="E96" s="1">
        <v>45410</v>
      </c>
      <c r="F96">
        <v>499</v>
      </c>
      <c r="G96" s="2">
        <v>45383</v>
      </c>
      <c r="H96">
        <v>36</v>
      </c>
      <c r="I96" t="str">
        <f t="shared" si="4"/>
        <v>High</v>
      </c>
      <c r="J96">
        <v>17</v>
      </c>
      <c r="K96" t="str">
        <f t="shared" si="5"/>
        <v>High</v>
      </c>
      <c r="L96" t="str">
        <f t="shared" si="6"/>
        <v>High</v>
      </c>
      <c r="M96" t="str">
        <f t="shared" si="7"/>
        <v>No</v>
      </c>
    </row>
    <row r="97" spans="1:13" x14ac:dyDescent="0.3">
      <c r="A97" t="s">
        <v>103</v>
      </c>
      <c r="B97" t="s">
        <v>10</v>
      </c>
      <c r="C97" s="1">
        <v>45393</v>
      </c>
      <c r="D97" s="1">
        <v>45758</v>
      </c>
      <c r="F97">
        <v>3999</v>
      </c>
      <c r="G97" s="2">
        <v>45383</v>
      </c>
      <c r="H97">
        <v>3</v>
      </c>
      <c r="I97" t="str">
        <f t="shared" si="4"/>
        <v>Medium</v>
      </c>
      <c r="J97">
        <v>3</v>
      </c>
      <c r="K97" t="str">
        <f t="shared" si="5"/>
        <v>High</v>
      </c>
      <c r="L97" t="str">
        <f t="shared" si="6"/>
        <v>High</v>
      </c>
      <c r="M97" t="str">
        <f t="shared" si="7"/>
        <v>No</v>
      </c>
    </row>
    <row r="98" spans="1:13" x14ac:dyDescent="0.3">
      <c r="A98" t="s">
        <v>104</v>
      </c>
      <c r="B98" t="s">
        <v>7</v>
      </c>
      <c r="C98" s="1">
        <v>45394</v>
      </c>
      <c r="D98" s="1">
        <v>45424</v>
      </c>
      <c r="F98">
        <v>499</v>
      </c>
      <c r="G98" s="2">
        <v>45383</v>
      </c>
      <c r="H98">
        <v>6</v>
      </c>
      <c r="I98" t="str">
        <f t="shared" si="4"/>
        <v>High</v>
      </c>
      <c r="J98">
        <v>4</v>
      </c>
      <c r="K98" t="str">
        <f t="shared" si="5"/>
        <v>High</v>
      </c>
      <c r="L98" t="str">
        <f t="shared" si="6"/>
        <v>High</v>
      </c>
      <c r="M98" t="str">
        <f t="shared" si="7"/>
        <v>No</v>
      </c>
    </row>
    <row r="99" spans="1:13" x14ac:dyDescent="0.3">
      <c r="A99" t="s">
        <v>105</v>
      </c>
      <c r="B99" t="s">
        <v>7</v>
      </c>
      <c r="C99" s="1">
        <v>45395</v>
      </c>
      <c r="D99" s="1">
        <v>45425</v>
      </c>
      <c r="E99" s="1">
        <v>45412</v>
      </c>
      <c r="F99">
        <v>499</v>
      </c>
      <c r="G99" s="2">
        <v>45383</v>
      </c>
      <c r="H99">
        <v>35</v>
      </c>
      <c r="I99" t="str">
        <f t="shared" si="4"/>
        <v>High</v>
      </c>
      <c r="J99">
        <v>15</v>
      </c>
      <c r="K99" t="str">
        <f t="shared" si="5"/>
        <v>High</v>
      </c>
      <c r="L99" t="str">
        <f t="shared" si="6"/>
        <v>High</v>
      </c>
      <c r="M99" t="str">
        <f t="shared" si="7"/>
        <v>No</v>
      </c>
    </row>
    <row r="100" spans="1:13" x14ac:dyDescent="0.3">
      <c r="A100" t="s">
        <v>106</v>
      </c>
      <c r="B100" t="s">
        <v>10</v>
      </c>
      <c r="C100" s="1">
        <v>45396</v>
      </c>
      <c r="D100" s="1">
        <v>45761</v>
      </c>
      <c r="F100">
        <v>3999</v>
      </c>
      <c r="G100" s="2">
        <v>45383</v>
      </c>
      <c r="H100">
        <v>32</v>
      </c>
      <c r="I100" t="str">
        <f t="shared" si="4"/>
        <v>High</v>
      </c>
      <c r="J100">
        <v>16</v>
      </c>
      <c r="K100" t="str">
        <f t="shared" si="5"/>
        <v>High</v>
      </c>
      <c r="L100" t="str">
        <f t="shared" si="6"/>
        <v>High</v>
      </c>
      <c r="M100" t="str">
        <f t="shared" si="7"/>
        <v>No</v>
      </c>
    </row>
    <row r="101" spans="1:13" x14ac:dyDescent="0.3">
      <c r="A101" t="s">
        <v>107</v>
      </c>
      <c r="B101" t="s">
        <v>7</v>
      </c>
      <c r="C101" s="1">
        <v>45397</v>
      </c>
      <c r="D101" s="1">
        <v>45427</v>
      </c>
      <c r="F101">
        <v>499</v>
      </c>
      <c r="G101" s="2">
        <v>45383</v>
      </c>
      <c r="H101">
        <v>39</v>
      </c>
      <c r="I101" t="str">
        <f t="shared" si="4"/>
        <v>High</v>
      </c>
      <c r="J101">
        <v>17</v>
      </c>
      <c r="K101" t="str">
        <f t="shared" si="5"/>
        <v>High</v>
      </c>
      <c r="L101" t="str">
        <f t="shared" si="6"/>
        <v>High</v>
      </c>
      <c r="M101" t="str">
        <f t="shared" si="7"/>
        <v>No</v>
      </c>
    </row>
    <row r="102" spans="1:13" x14ac:dyDescent="0.3">
      <c r="A102" t="s">
        <v>108</v>
      </c>
      <c r="B102" t="s">
        <v>7</v>
      </c>
      <c r="C102" s="1">
        <v>45398</v>
      </c>
      <c r="D102" s="1">
        <v>45428</v>
      </c>
      <c r="E102" s="1">
        <v>45415</v>
      </c>
      <c r="F102">
        <v>499</v>
      </c>
      <c r="G102" s="2">
        <v>45383</v>
      </c>
      <c r="H102">
        <v>2</v>
      </c>
      <c r="I102" t="str">
        <f t="shared" si="4"/>
        <v>Medium</v>
      </c>
      <c r="J102">
        <v>2</v>
      </c>
      <c r="K102" t="str">
        <f t="shared" si="5"/>
        <v>Medium</v>
      </c>
      <c r="L102" t="str">
        <f t="shared" si="6"/>
        <v>Medium</v>
      </c>
      <c r="M102" t="str">
        <f t="shared" si="7"/>
        <v>No</v>
      </c>
    </row>
    <row r="103" spans="1:13" x14ac:dyDescent="0.3">
      <c r="A103" t="s">
        <v>109</v>
      </c>
      <c r="B103" t="s">
        <v>10</v>
      </c>
      <c r="C103" s="1">
        <v>45399</v>
      </c>
      <c r="D103" s="1">
        <v>45764</v>
      </c>
      <c r="F103">
        <v>3999</v>
      </c>
      <c r="G103" s="2">
        <v>45383</v>
      </c>
      <c r="H103">
        <v>4</v>
      </c>
      <c r="I103" t="str">
        <f t="shared" si="4"/>
        <v>Medium</v>
      </c>
      <c r="J103">
        <v>3</v>
      </c>
      <c r="K103" t="str">
        <f t="shared" si="5"/>
        <v>High</v>
      </c>
      <c r="L103" t="str">
        <f t="shared" si="6"/>
        <v>High</v>
      </c>
      <c r="M103" t="str">
        <f t="shared" si="7"/>
        <v>No</v>
      </c>
    </row>
    <row r="104" spans="1:13" x14ac:dyDescent="0.3">
      <c r="A104" t="s">
        <v>110</v>
      </c>
      <c r="B104" t="s">
        <v>7</v>
      </c>
      <c r="C104" s="1">
        <v>45400</v>
      </c>
      <c r="D104" s="1">
        <v>45430</v>
      </c>
      <c r="F104">
        <v>499</v>
      </c>
      <c r="G104" s="2">
        <v>45383</v>
      </c>
      <c r="H104">
        <v>31</v>
      </c>
      <c r="I104" t="str">
        <f t="shared" si="4"/>
        <v>High</v>
      </c>
      <c r="J104">
        <v>14</v>
      </c>
      <c r="K104" t="str">
        <f t="shared" si="5"/>
        <v>High</v>
      </c>
      <c r="L104" t="str">
        <f t="shared" si="6"/>
        <v>High</v>
      </c>
      <c r="M104" t="str">
        <f t="shared" si="7"/>
        <v>No</v>
      </c>
    </row>
    <row r="105" spans="1:13" x14ac:dyDescent="0.3">
      <c r="A105" t="s">
        <v>111</v>
      </c>
      <c r="B105" t="s">
        <v>7</v>
      </c>
      <c r="C105" s="1">
        <v>45401</v>
      </c>
      <c r="D105" s="1">
        <v>45431</v>
      </c>
      <c r="E105" s="1">
        <v>45418</v>
      </c>
      <c r="F105">
        <v>499</v>
      </c>
      <c r="G105" s="2">
        <v>45383</v>
      </c>
      <c r="H105">
        <v>29</v>
      </c>
      <c r="I105" t="str">
        <f t="shared" si="4"/>
        <v>High</v>
      </c>
      <c r="J105">
        <v>14</v>
      </c>
      <c r="K105" t="str">
        <f t="shared" si="5"/>
        <v>High</v>
      </c>
      <c r="L105" t="str">
        <f t="shared" si="6"/>
        <v>High</v>
      </c>
      <c r="M105" t="str">
        <f t="shared" si="7"/>
        <v>No</v>
      </c>
    </row>
    <row r="106" spans="1:13" x14ac:dyDescent="0.3">
      <c r="A106" t="s">
        <v>112</v>
      </c>
      <c r="B106" t="s">
        <v>10</v>
      </c>
      <c r="C106" s="1">
        <v>45402</v>
      </c>
      <c r="D106" s="1">
        <v>45767</v>
      </c>
      <c r="F106">
        <v>3999</v>
      </c>
      <c r="G106" s="2">
        <v>45383</v>
      </c>
      <c r="H106">
        <v>45</v>
      </c>
      <c r="I106" t="str">
        <f t="shared" si="4"/>
        <v>High</v>
      </c>
      <c r="J106">
        <v>13</v>
      </c>
      <c r="K106" t="str">
        <f t="shared" si="5"/>
        <v>High</v>
      </c>
      <c r="L106" t="str">
        <f t="shared" si="6"/>
        <v>High</v>
      </c>
      <c r="M106" t="str">
        <f t="shared" si="7"/>
        <v>No</v>
      </c>
    </row>
    <row r="107" spans="1:13" x14ac:dyDescent="0.3">
      <c r="A107" t="s">
        <v>113</v>
      </c>
      <c r="B107" t="s">
        <v>7</v>
      </c>
      <c r="C107" s="1">
        <v>45403</v>
      </c>
      <c r="D107" s="1">
        <v>45433</v>
      </c>
      <c r="F107">
        <v>499</v>
      </c>
      <c r="G107" s="2">
        <v>45383</v>
      </c>
      <c r="H107">
        <v>3</v>
      </c>
      <c r="I107" t="str">
        <f t="shared" si="4"/>
        <v>Medium</v>
      </c>
      <c r="J107">
        <v>5</v>
      </c>
      <c r="K107" t="str">
        <f t="shared" si="5"/>
        <v>High</v>
      </c>
      <c r="L107" t="str">
        <f t="shared" si="6"/>
        <v>High</v>
      </c>
      <c r="M107" t="str">
        <f t="shared" si="7"/>
        <v>No</v>
      </c>
    </row>
    <row r="108" spans="1:13" x14ac:dyDescent="0.3">
      <c r="A108" t="s">
        <v>114</v>
      </c>
      <c r="B108" t="s">
        <v>7</v>
      </c>
      <c r="C108" s="1">
        <v>45404</v>
      </c>
      <c r="D108" s="1">
        <v>45434</v>
      </c>
      <c r="E108" s="1">
        <v>45421</v>
      </c>
      <c r="F108">
        <v>499</v>
      </c>
      <c r="G108" s="2">
        <v>45383</v>
      </c>
      <c r="H108">
        <v>5</v>
      </c>
      <c r="I108" t="str">
        <f t="shared" si="4"/>
        <v>High</v>
      </c>
      <c r="J108">
        <v>4</v>
      </c>
      <c r="K108" t="str">
        <f t="shared" si="5"/>
        <v>High</v>
      </c>
      <c r="L108" t="str">
        <f t="shared" si="6"/>
        <v>High</v>
      </c>
      <c r="M108" t="str">
        <f t="shared" si="7"/>
        <v>No</v>
      </c>
    </row>
    <row r="109" spans="1:13" x14ac:dyDescent="0.3">
      <c r="A109" t="s">
        <v>115</v>
      </c>
      <c r="B109" t="s">
        <v>10</v>
      </c>
      <c r="C109" s="1">
        <v>45405</v>
      </c>
      <c r="D109" s="1">
        <v>45770</v>
      </c>
      <c r="F109">
        <v>3999</v>
      </c>
      <c r="G109" s="2">
        <v>45383</v>
      </c>
      <c r="H109">
        <v>35</v>
      </c>
      <c r="I109" t="str">
        <f t="shared" si="4"/>
        <v>High</v>
      </c>
      <c r="J109">
        <v>16</v>
      </c>
      <c r="K109" t="str">
        <f t="shared" si="5"/>
        <v>High</v>
      </c>
      <c r="L109" t="str">
        <f t="shared" si="6"/>
        <v>High</v>
      </c>
      <c r="M109" t="str">
        <f t="shared" si="7"/>
        <v>No</v>
      </c>
    </row>
    <row r="110" spans="1:13" x14ac:dyDescent="0.3">
      <c r="A110" t="s">
        <v>116</v>
      </c>
      <c r="B110" t="s">
        <v>7</v>
      </c>
      <c r="C110" s="1">
        <v>45406</v>
      </c>
      <c r="D110" s="1">
        <v>45436</v>
      </c>
      <c r="F110">
        <v>499</v>
      </c>
      <c r="G110" s="2">
        <v>45383</v>
      </c>
      <c r="H110">
        <v>34</v>
      </c>
      <c r="I110" t="str">
        <f t="shared" si="4"/>
        <v>High</v>
      </c>
      <c r="J110">
        <v>12</v>
      </c>
      <c r="K110" t="str">
        <f t="shared" si="5"/>
        <v>High</v>
      </c>
      <c r="L110" t="str">
        <f t="shared" si="6"/>
        <v>High</v>
      </c>
      <c r="M110" t="str">
        <f t="shared" si="7"/>
        <v>No</v>
      </c>
    </row>
    <row r="111" spans="1:13" x14ac:dyDescent="0.3">
      <c r="A111" t="s">
        <v>117</v>
      </c>
      <c r="B111" t="s">
        <v>7</v>
      </c>
      <c r="C111" s="1">
        <v>45407</v>
      </c>
      <c r="D111" s="1">
        <v>45437</v>
      </c>
      <c r="E111" s="1">
        <v>45424</v>
      </c>
      <c r="F111">
        <v>499</v>
      </c>
      <c r="G111" s="2">
        <v>45383</v>
      </c>
      <c r="H111">
        <v>46</v>
      </c>
      <c r="I111" t="str">
        <f t="shared" si="4"/>
        <v>High</v>
      </c>
      <c r="J111">
        <v>17</v>
      </c>
      <c r="K111" t="str">
        <f t="shared" si="5"/>
        <v>High</v>
      </c>
      <c r="L111" t="str">
        <f t="shared" si="6"/>
        <v>High</v>
      </c>
      <c r="M111" t="str">
        <f t="shared" si="7"/>
        <v>No</v>
      </c>
    </row>
    <row r="112" spans="1:13" x14ac:dyDescent="0.3">
      <c r="A112" t="s">
        <v>118</v>
      </c>
      <c r="B112" t="s">
        <v>10</v>
      </c>
      <c r="C112" s="1">
        <v>45408</v>
      </c>
      <c r="D112" s="1">
        <v>45773</v>
      </c>
      <c r="F112">
        <v>3999</v>
      </c>
      <c r="G112" s="2">
        <v>45383</v>
      </c>
      <c r="H112">
        <v>5</v>
      </c>
      <c r="I112" t="str">
        <f t="shared" si="4"/>
        <v>High</v>
      </c>
      <c r="J112">
        <v>1</v>
      </c>
      <c r="K112" t="str">
        <f t="shared" si="5"/>
        <v>Low</v>
      </c>
      <c r="L112" t="str">
        <f t="shared" si="6"/>
        <v>High</v>
      </c>
      <c r="M112" t="str">
        <f t="shared" si="7"/>
        <v>No</v>
      </c>
    </row>
    <row r="113" spans="1:13" x14ac:dyDescent="0.3">
      <c r="A113" t="s">
        <v>119</v>
      </c>
      <c r="B113" t="s">
        <v>7</v>
      </c>
      <c r="C113" s="1">
        <v>45409</v>
      </c>
      <c r="D113" s="1">
        <v>45439</v>
      </c>
      <c r="F113">
        <v>499</v>
      </c>
      <c r="G113" s="2">
        <v>45383</v>
      </c>
      <c r="H113">
        <v>2</v>
      </c>
      <c r="I113" t="str">
        <f t="shared" si="4"/>
        <v>Medium</v>
      </c>
      <c r="J113">
        <v>6</v>
      </c>
      <c r="K113" t="str">
        <f t="shared" si="5"/>
        <v>High</v>
      </c>
      <c r="L113" t="str">
        <f t="shared" si="6"/>
        <v>High</v>
      </c>
      <c r="M113" t="str">
        <f t="shared" si="7"/>
        <v>No</v>
      </c>
    </row>
    <row r="114" spans="1:13" x14ac:dyDescent="0.3">
      <c r="A114" t="s">
        <v>120</v>
      </c>
      <c r="B114" t="s">
        <v>7</v>
      </c>
      <c r="C114" s="1">
        <v>45410</v>
      </c>
      <c r="D114" s="1">
        <v>45440</v>
      </c>
      <c r="E114" s="1">
        <v>45427</v>
      </c>
      <c r="F114">
        <v>499</v>
      </c>
      <c r="G114" s="2">
        <v>45383</v>
      </c>
      <c r="H114">
        <v>33</v>
      </c>
      <c r="I114" t="str">
        <f t="shared" si="4"/>
        <v>High</v>
      </c>
      <c r="J114">
        <v>13</v>
      </c>
      <c r="K114" t="str">
        <f t="shared" si="5"/>
        <v>High</v>
      </c>
      <c r="L114" t="str">
        <f t="shared" si="6"/>
        <v>High</v>
      </c>
      <c r="M114" t="str">
        <f t="shared" si="7"/>
        <v>No</v>
      </c>
    </row>
    <row r="115" spans="1:13" x14ac:dyDescent="0.3">
      <c r="A115" t="s">
        <v>121</v>
      </c>
      <c r="B115" t="s">
        <v>10</v>
      </c>
      <c r="C115" s="1">
        <v>45411</v>
      </c>
      <c r="D115" s="1">
        <v>45776</v>
      </c>
      <c r="F115">
        <v>3999</v>
      </c>
      <c r="G115" s="2">
        <v>45383</v>
      </c>
      <c r="H115">
        <v>35</v>
      </c>
      <c r="I115" t="str">
        <f t="shared" si="4"/>
        <v>High</v>
      </c>
      <c r="J115">
        <v>15</v>
      </c>
      <c r="K115" t="str">
        <f t="shared" si="5"/>
        <v>High</v>
      </c>
      <c r="L115" t="str">
        <f t="shared" si="6"/>
        <v>High</v>
      </c>
      <c r="M115" t="str">
        <f t="shared" si="7"/>
        <v>No</v>
      </c>
    </row>
    <row r="116" spans="1:13" x14ac:dyDescent="0.3">
      <c r="A116" t="s">
        <v>122</v>
      </c>
      <c r="B116" t="s">
        <v>7</v>
      </c>
      <c r="C116" s="1">
        <v>45412</v>
      </c>
      <c r="D116" s="1">
        <v>45442</v>
      </c>
      <c r="F116">
        <v>499</v>
      </c>
      <c r="G116" s="2">
        <v>45383</v>
      </c>
      <c r="H116">
        <v>34</v>
      </c>
      <c r="I116" t="str">
        <f t="shared" si="4"/>
        <v>High</v>
      </c>
      <c r="J116">
        <v>16</v>
      </c>
      <c r="K116" t="str">
        <f t="shared" si="5"/>
        <v>High</v>
      </c>
      <c r="L116" t="str">
        <f t="shared" si="6"/>
        <v>High</v>
      </c>
      <c r="M116" t="str">
        <f t="shared" si="7"/>
        <v>No</v>
      </c>
    </row>
    <row r="117" spans="1:13" x14ac:dyDescent="0.3">
      <c r="A117" t="s">
        <v>123</v>
      </c>
      <c r="B117" t="s">
        <v>7</v>
      </c>
      <c r="C117" s="1">
        <v>45413</v>
      </c>
      <c r="D117" s="1">
        <v>45444</v>
      </c>
      <c r="E117" s="1">
        <v>45430</v>
      </c>
      <c r="F117">
        <v>499</v>
      </c>
      <c r="G117" s="2">
        <v>45413</v>
      </c>
      <c r="H117">
        <v>5</v>
      </c>
      <c r="I117" t="str">
        <f t="shared" si="4"/>
        <v>High</v>
      </c>
      <c r="J117">
        <v>8</v>
      </c>
      <c r="K117" t="str">
        <f t="shared" si="5"/>
        <v>High</v>
      </c>
      <c r="L117" t="str">
        <f t="shared" si="6"/>
        <v>High</v>
      </c>
      <c r="M117" t="str">
        <f t="shared" si="7"/>
        <v>No</v>
      </c>
    </row>
    <row r="118" spans="1:13" x14ac:dyDescent="0.3">
      <c r="A118" t="s">
        <v>124</v>
      </c>
      <c r="B118" t="s">
        <v>10</v>
      </c>
      <c r="C118" s="1">
        <v>45414</v>
      </c>
      <c r="D118" s="1">
        <v>45779</v>
      </c>
      <c r="F118">
        <v>3999</v>
      </c>
      <c r="G118" s="2">
        <v>45413</v>
      </c>
      <c r="H118">
        <v>4</v>
      </c>
      <c r="I118" t="str">
        <f t="shared" si="4"/>
        <v>Medium</v>
      </c>
      <c r="J118">
        <v>7</v>
      </c>
      <c r="K118" t="str">
        <f t="shared" si="5"/>
        <v>High</v>
      </c>
      <c r="L118" t="str">
        <f t="shared" si="6"/>
        <v>High</v>
      </c>
      <c r="M118" t="str">
        <f t="shared" si="7"/>
        <v>No</v>
      </c>
    </row>
    <row r="119" spans="1:13" x14ac:dyDescent="0.3">
      <c r="A119" t="s">
        <v>125</v>
      </c>
      <c r="B119" t="s">
        <v>7</v>
      </c>
      <c r="C119" s="1">
        <v>45415</v>
      </c>
      <c r="D119" s="1">
        <v>45446</v>
      </c>
      <c r="F119">
        <v>499</v>
      </c>
      <c r="G119" s="2">
        <v>45413</v>
      </c>
      <c r="H119">
        <v>28</v>
      </c>
      <c r="I119" t="str">
        <f t="shared" si="4"/>
        <v>High</v>
      </c>
      <c r="J119">
        <v>11</v>
      </c>
      <c r="K119" t="str">
        <f t="shared" si="5"/>
        <v>High</v>
      </c>
      <c r="L119" t="str">
        <f t="shared" si="6"/>
        <v>High</v>
      </c>
      <c r="M119" t="str">
        <f t="shared" si="7"/>
        <v>No</v>
      </c>
    </row>
    <row r="120" spans="1:13" x14ac:dyDescent="0.3">
      <c r="A120" t="s">
        <v>126</v>
      </c>
      <c r="B120" t="s">
        <v>7</v>
      </c>
      <c r="C120" s="1">
        <v>45416</v>
      </c>
      <c r="D120" s="1">
        <v>45447</v>
      </c>
      <c r="E120" s="1">
        <v>45433</v>
      </c>
      <c r="F120">
        <v>499</v>
      </c>
      <c r="G120" s="2">
        <v>45413</v>
      </c>
      <c r="H120">
        <v>34</v>
      </c>
      <c r="I120" t="str">
        <f t="shared" si="4"/>
        <v>High</v>
      </c>
      <c r="J120">
        <v>9</v>
      </c>
      <c r="K120" t="str">
        <f t="shared" si="5"/>
        <v>High</v>
      </c>
      <c r="L120" t="str">
        <f t="shared" si="6"/>
        <v>High</v>
      </c>
      <c r="M120" t="str">
        <f t="shared" si="7"/>
        <v>No</v>
      </c>
    </row>
    <row r="121" spans="1:13" x14ac:dyDescent="0.3">
      <c r="A121" t="s">
        <v>127</v>
      </c>
      <c r="B121" t="s">
        <v>10</v>
      </c>
      <c r="C121" s="1">
        <v>45417</v>
      </c>
      <c r="D121" s="1">
        <v>45782</v>
      </c>
      <c r="F121">
        <v>3999</v>
      </c>
      <c r="G121" s="2">
        <v>45413</v>
      </c>
      <c r="H121">
        <v>42</v>
      </c>
      <c r="I121" t="str">
        <f t="shared" si="4"/>
        <v>High</v>
      </c>
      <c r="J121">
        <v>14</v>
      </c>
      <c r="K121" t="str">
        <f t="shared" si="5"/>
        <v>High</v>
      </c>
      <c r="L121" t="str">
        <f t="shared" si="6"/>
        <v>High</v>
      </c>
      <c r="M121" t="str">
        <f t="shared" si="7"/>
        <v>No</v>
      </c>
    </row>
    <row r="122" spans="1:13" x14ac:dyDescent="0.3">
      <c r="A122" t="s">
        <v>128</v>
      </c>
      <c r="B122" t="s">
        <v>7</v>
      </c>
      <c r="C122" s="1">
        <v>45418</v>
      </c>
      <c r="D122" s="1">
        <v>45449</v>
      </c>
      <c r="F122">
        <v>499</v>
      </c>
      <c r="G122" s="2">
        <v>45413</v>
      </c>
      <c r="H122">
        <v>2</v>
      </c>
      <c r="I122" t="str">
        <f t="shared" si="4"/>
        <v>Medium</v>
      </c>
      <c r="J122">
        <v>6</v>
      </c>
      <c r="K122" t="str">
        <f t="shared" si="5"/>
        <v>High</v>
      </c>
      <c r="L122" t="str">
        <f t="shared" si="6"/>
        <v>High</v>
      </c>
      <c r="M122" t="str">
        <f t="shared" si="7"/>
        <v>No</v>
      </c>
    </row>
    <row r="123" spans="1:13" x14ac:dyDescent="0.3">
      <c r="A123" t="s">
        <v>129</v>
      </c>
      <c r="B123" t="s">
        <v>7</v>
      </c>
      <c r="C123" s="1">
        <v>45419</v>
      </c>
      <c r="D123" s="1">
        <v>45450</v>
      </c>
      <c r="E123" s="1">
        <v>45436</v>
      </c>
      <c r="F123">
        <v>499</v>
      </c>
      <c r="G123" s="2">
        <v>45413</v>
      </c>
      <c r="H123">
        <v>3</v>
      </c>
      <c r="I123" t="str">
        <f t="shared" si="4"/>
        <v>Medium</v>
      </c>
      <c r="J123">
        <v>5</v>
      </c>
      <c r="K123" t="str">
        <f t="shared" si="5"/>
        <v>High</v>
      </c>
      <c r="L123" t="str">
        <f t="shared" si="6"/>
        <v>High</v>
      </c>
      <c r="M123" t="str">
        <f t="shared" si="7"/>
        <v>No</v>
      </c>
    </row>
    <row r="124" spans="1:13" x14ac:dyDescent="0.3">
      <c r="A124" t="s">
        <v>130</v>
      </c>
      <c r="B124" t="s">
        <v>10</v>
      </c>
      <c r="C124" s="1">
        <v>45420</v>
      </c>
      <c r="D124" s="1">
        <v>45785</v>
      </c>
      <c r="F124">
        <v>3999</v>
      </c>
      <c r="G124" s="2">
        <v>45413</v>
      </c>
      <c r="H124">
        <v>34</v>
      </c>
      <c r="I124" t="str">
        <f t="shared" si="4"/>
        <v>High</v>
      </c>
      <c r="J124">
        <v>15</v>
      </c>
      <c r="K124" t="str">
        <f t="shared" si="5"/>
        <v>High</v>
      </c>
      <c r="L124" t="str">
        <f t="shared" si="6"/>
        <v>High</v>
      </c>
      <c r="M124" t="str">
        <f t="shared" si="7"/>
        <v>No</v>
      </c>
    </row>
    <row r="125" spans="1:13" x14ac:dyDescent="0.3">
      <c r="A125" t="s">
        <v>131</v>
      </c>
      <c r="B125" t="s">
        <v>7</v>
      </c>
      <c r="C125" s="1">
        <v>45421</v>
      </c>
      <c r="D125" s="1">
        <v>45452</v>
      </c>
      <c r="F125">
        <v>499</v>
      </c>
      <c r="G125" s="2">
        <v>45413</v>
      </c>
      <c r="H125">
        <v>32</v>
      </c>
      <c r="I125" t="str">
        <f t="shared" si="4"/>
        <v>High</v>
      </c>
      <c r="J125">
        <v>10</v>
      </c>
      <c r="K125" t="str">
        <f t="shared" si="5"/>
        <v>High</v>
      </c>
      <c r="L125" t="str">
        <f t="shared" si="6"/>
        <v>High</v>
      </c>
      <c r="M125" t="str">
        <f t="shared" si="7"/>
        <v>No</v>
      </c>
    </row>
    <row r="126" spans="1:13" x14ac:dyDescent="0.3">
      <c r="A126" t="s">
        <v>132</v>
      </c>
      <c r="B126" t="s">
        <v>7</v>
      </c>
      <c r="C126" s="1">
        <v>45422</v>
      </c>
      <c r="D126" s="1">
        <v>45453</v>
      </c>
      <c r="E126" s="1">
        <v>45439</v>
      </c>
      <c r="F126">
        <v>499</v>
      </c>
      <c r="G126" s="2">
        <v>45413</v>
      </c>
      <c r="H126">
        <v>44</v>
      </c>
      <c r="I126" t="str">
        <f t="shared" si="4"/>
        <v>High</v>
      </c>
      <c r="J126">
        <v>13</v>
      </c>
      <c r="K126" t="str">
        <f t="shared" si="5"/>
        <v>High</v>
      </c>
      <c r="L126" t="str">
        <f t="shared" si="6"/>
        <v>High</v>
      </c>
      <c r="M126" t="str">
        <f t="shared" si="7"/>
        <v>No</v>
      </c>
    </row>
    <row r="127" spans="1:13" x14ac:dyDescent="0.3">
      <c r="A127" t="s">
        <v>133</v>
      </c>
      <c r="B127" t="s">
        <v>10</v>
      </c>
      <c r="C127" s="1">
        <v>45423</v>
      </c>
      <c r="D127" s="1">
        <v>45788</v>
      </c>
      <c r="F127">
        <v>3999</v>
      </c>
      <c r="G127" s="2">
        <v>45413</v>
      </c>
      <c r="H127">
        <v>3</v>
      </c>
      <c r="I127" t="str">
        <f t="shared" si="4"/>
        <v>Medium</v>
      </c>
      <c r="J127">
        <v>12</v>
      </c>
      <c r="K127" t="str">
        <f t="shared" si="5"/>
        <v>High</v>
      </c>
      <c r="L127" t="str">
        <f t="shared" si="6"/>
        <v>High</v>
      </c>
      <c r="M127" t="str">
        <f t="shared" si="7"/>
        <v>No</v>
      </c>
    </row>
    <row r="128" spans="1:13" x14ac:dyDescent="0.3">
      <c r="A128" t="s">
        <v>134</v>
      </c>
      <c r="B128" t="s">
        <v>7</v>
      </c>
      <c r="C128" s="1">
        <v>45424</v>
      </c>
      <c r="D128" s="1">
        <v>45455</v>
      </c>
      <c r="F128">
        <v>499</v>
      </c>
      <c r="G128" s="2">
        <v>45413</v>
      </c>
      <c r="H128">
        <v>2</v>
      </c>
      <c r="I128" t="str">
        <f t="shared" si="4"/>
        <v>Medium</v>
      </c>
      <c r="J128">
        <v>11</v>
      </c>
      <c r="K128" t="str">
        <f t="shared" si="5"/>
        <v>High</v>
      </c>
      <c r="L128" t="str">
        <f t="shared" si="6"/>
        <v>High</v>
      </c>
      <c r="M128" t="str">
        <f t="shared" si="7"/>
        <v>No</v>
      </c>
    </row>
    <row r="129" spans="1:13" x14ac:dyDescent="0.3">
      <c r="A129" t="s">
        <v>135</v>
      </c>
      <c r="B129" t="s">
        <v>7</v>
      </c>
      <c r="C129" s="1">
        <v>45425</v>
      </c>
      <c r="D129" s="1">
        <v>45456</v>
      </c>
      <c r="E129" s="1">
        <v>45442</v>
      </c>
      <c r="F129">
        <v>499</v>
      </c>
      <c r="G129" s="2">
        <v>45413</v>
      </c>
      <c r="H129">
        <v>35</v>
      </c>
      <c r="I129" t="str">
        <f t="shared" si="4"/>
        <v>High</v>
      </c>
      <c r="J129">
        <v>9</v>
      </c>
      <c r="K129" t="str">
        <f t="shared" si="5"/>
        <v>High</v>
      </c>
      <c r="L129" t="str">
        <f t="shared" si="6"/>
        <v>High</v>
      </c>
      <c r="M129" t="str">
        <f t="shared" si="7"/>
        <v>No</v>
      </c>
    </row>
    <row r="130" spans="1:13" x14ac:dyDescent="0.3">
      <c r="A130" t="s">
        <v>136</v>
      </c>
      <c r="B130" t="s">
        <v>10</v>
      </c>
      <c r="C130" s="1">
        <v>45426</v>
      </c>
      <c r="D130" s="1">
        <v>45791</v>
      </c>
      <c r="F130">
        <v>3999</v>
      </c>
      <c r="G130" s="2">
        <v>45413</v>
      </c>
      <c r="H130">
        <v>31</v>
      </c>
      <c r="I130" t="str">
        <f t="shared" si="4"/>
        <v>High</v>
      </c>
      <c r="J130">
        <v>14</v>
      </c>
      <c r="K130" t="str">
        <f t="shared" si="5"/>
        <v>High</v>
      </c>
      <c r="L130" t="str">
        <f t="shared" si="6"/>
        <v>High</v>
      </c>
      <c r="M130" t="str">
        <f t="shared" si="7"/>
        <v>No</v>
      </c>
    </row>
    <row r="131" spans="1:13" x14ac:dyDescent="0.3">
      <c r="A131" t="s">
        <v>137</v>
      </c>
      <c r="B131" t="s">
        <v>7</v>
      </c>
      <c r="C131" s="1">
        <v>45427</v>
      </c>
      <c r="D131" s="1">
        <v>45458</v>
      </c>
      <c r="F131">
        <v>499</v>
      </c>
      <c r="G131" s="2">
        <v>45413</v>
      </c>
      <c r="H131">
        <v>40</v>
      </c>
      <c r="I131" t="str">
        <f t="shared" ref="I131:I194" si="8">IF(H131&lt;=1,"Low",IF(H131&lt;=4,"Medium","High"))</f>
        <v>High</v>
      </c>
      <c r="J131">
        <v>15</v>
      </c>
      <c r="K131" t="str">
        <f t="shared" ref="K131:K194" si="9">IF(J131&lt;=1,"Low",IF(J131=2,"Medium","High"))</f>
        <v>High</v>
      </c>
      <c r="L131" t="str">
        <f t="shared" ref="L131:L194" si="10">IF(OR(I131="High",K131="High"),"High",
IF(OR(I131="Medium",K131="Medium"),"Medium",
"Low"))</f>
        <v>High</v>
      </c>
      <c r="M131" t="str">
        <f t="shared" ref="M131:M194" si="11">IF(AND(TRIM(I131)="High",TRIM(L131)="Low"),"Yes","No")</f>
        <v>No</v>
      </c>
    </row>
    <row r="132" spans="1:13" x14ac:dyDescent="0.3">
      <c r="A132" t="s">
        <v>138</v>
      </c>
      <c r="B132" t="s">
        <v>7</v>
      </c>
      <c r="C132" s="1">
        <v>45428</v>
      </c>
      <c r="D132" s="1">
        <v>45459</v>
      </c>
      <c r="E132" s="1">
        <v>45445</v>
      </c>
      <c r="F132">
        <v>499</v>
      </c>
      <c r="G132" s="2">
        <v>45413</v>
      </c>
      <c r="H132">
        <v>5</v>
      </c>
      <c r="I132" t="str">
        <f t="shared" si="8"/>
        <v>High</v>
      </c>
      <c r="J132">
        <v>7</v>
      </c>
      <c r="K132" t="str">
        <f t="shared" si="9"/>
        <v>High</v>
      </c>
      <c r="L132" t="str">
        <f t="shared" si="10"/>
        <v>High</v>
      </c>
      <c r="M132" t="str">
        <f t="shared" si="11"/>
        <v>No</v>
      </c>
    </row>
    <row r="133" spans="1:13" x14ac:dyDescent="0.3">
      <c r="A133" t="s">
        <v>139</v>
      </c>
      <c r="B133" t="s">
        <v>10</v>
      </c>
      <c r="C133" s="1">
        <v>45429</v>
      </c>
      <c r="D133" s="1">
        <v>45794</v>
      </c>
      <c r="F133">
        <v>3999</v>
      </c>
      <c r="G133" s="2">
        <v>45413</v>
      </c>
      <c r="H133">
        <v>4</v>
      </c>
      <c r="I133" t="str">
        <f t="shared" si="8"/>
        <v>Medium</v>
      </c>
      <c r="J133">
        <v>8</v>
      </c>
      <c r="K133" t="str">
        <f t="shared" si="9"/>
        <v>High</v>
      </c>
      <c r="L133" t="str">
        <f t="shared" si="10"/>
        <v>High</v>
      </c>
      <c r="M133" t="str">
        <f t="shared" si="11"/>
        <v>No</v>
      </c>
    </row>
    <row r="134" spans="1:13" x14ac:dyDescent="0.3">
      <c r="A134" t="s">
        <v>140</v>
      </c>
      <c r="B134" t="s">
        <v>7</v>
      </c>
      <c r="C134" s="1">
        <v>45430</v>
      </c>
      <c r="D134" s="1">
        <v>45461</v>
      </c>
      <c r="F134">
        <v>499</v>
      </c>
      <c r="G134" s="2">
        <v>45413</v>
      </c>
      <c r="H134">
        <v>34</v>
      </c>
      <c r="I134" t="str">
        <f t="shared" si="8"/>
        <v>High</v>
      </c>
      <c r="J134">
        <v>12</v>
      </c>
      <c r="K134" t="str">
        <f t="shared" si="9"/>
        <v>High</v>
      </c>
      <c r="L134" t="str">
        <f t="shared" si="10"/>
        <v>High</v>
      </c>
      <c r="M134" t="str">
        <f t="shared" si="11"/>
        <v>No</v>
      </c>
    </row>
    <row r="135" spans="1:13" x14ac:dyDescent="0.3">
      <c r="A135" t="s">
        <v>141</v>
      </c>
      <c r="B135" t="s">
        <v>7</v>
      </c>
      <c r="C135" s="1">
        <v>45431</v>
      </c>
      <c r="D135" s="1">
        <v>45462</v>
      </c>
      <c r="E135" s="1">
        <v>45448</v>
      </c>
      <c r="F135">
        <v>499</v>
      </c>
      <c r="G135" s="2">
        <v>45413</v>
      </c>
      <c r="H135">
        <v>34</v>
      </c>
      <c r="I135" t="str">
        <f t="shared" si="8"/>
        <v>High</v>
      </c>
      <c r="J135">
        <v>14</v>
      </c>
      <c r="K135" t="str">
        <f t="shared" si="9"/>
        <v>High</v>
      </c>
      <c r="L135" t="str">
        <f t="shared" si="10"/>
        <v>High</v>
      </c>
      <c r="M135" t="str">
        <f t="shared" si="11"/>
        <v>No</v>
      </c>
    </row>
    <row r="136" spans="1:13" x14ac:dyDescent="0.3">
      <c r="A136" t="s">
        <v>142</v>
      </c>
      <c r="B136" t="s">
        <v>10</v>
      </c>
      <c r="C136" s="1">
        <v>45432</v>
      </c>
      <c r="D136" s="1">
        <v>45797</v>
      </c>
      <c r="F136">
        <v>3999</v>
      </c>
      <c r="G136" s="2">
        <v>45413</v>
      </c>
      <c r="H136">
        <v>38</v>
      </c>
      <c r="I136" t="str">
        <f t="shared" si="8"/>
        <v>High</v>
      </c>
      <c r="J136">
        <v>16</v>
      </c>
      <c r="K136" t="str">
        <f t="shared" si="9"/>
        <v>High</v>
      </c>
      <c r="L136" t="str">
        <f t="shared" si="10"/>
        <v>High</v>
      </c>
      <c r="M136" t="str">
        <f t="shared" si="11"/>
        <v>No</v>
      </c>
    </row>
    <row r="137" spans="1:13" x14ac:dyDescent="0.3">
      <c r="A137" t="s">
        <v>143</v>
      </c>
      <c r="B137" t="s">
        <v>7</v>
      </c>
      <c r="C137" s="1">
        <v>45433</v>
      </c>
      <c r="D137" s="1">
        <v>45464</v>
      </c>
      <c r="F137">
        <v>499</v>
      </c>
      <c r="G137" s="2">
        <v>45413</v>
      </c>
      <c r="H137">
        <v>4</v>
      </c>
      <c r="I137" t="str">
        <f t="shared" si="8"/>
        <v>Medium</v>
      </c>
      <c r="J137">
        <v>5</v>
      </c>
      <c r="K137" t="str">
        <f t="shared" si="9"/>
        <v>High</v>
      </c>
      <c r="L137" t="str">
        <f t="shared" si="10"/>
        <v>High</v>
      </c>
      <c r="M137" t="str">
        <f t="shared" si="11"/>
        <v>No</v>
      </c>
    </row>
    <row r="138" spans="1:13" x14ac:dyDescent="0.3">
      <c r="A138" t="s">
        <v>144</v>
      </c>
      <c r="B138" t="s">
        <v>7</v>
      </c>
      <c r="C138" s="1">
        <v>45434</v>
      </c>
      <c r="D138" s="1">
        <v>45465</v>
      </c>
      <c r="E138" s="1">
        <v>45451</v>
      </c>
      <c r="F138">
        <v>499</v>
      </c>
      <c r="G138" s="2">
        <v>45413</v>
      </c>
      <c r="H138">
        <v>1</v>
      </c>
      <c r="I138" t="str">
        <f t="shared" si="8"/>
        <v>Low</v>
      </c>
      <c r="J138">
        <v>4</v>
      </c>
      <c r="K138" t="str">
        <f t="shared" si="9"/>
        <v>High</v>
      </c>
      <c r="L138" t="str">
        <f t="shared" si="10"/>
        <v>High</v>
      </c>
      <c r="M138" t="str">
        <f t="shared" si="11"/>
        <v>No</v>
      </c>
    </row>
    <row r="139" spans="1:13" x14ac:dyDescent="0.3">
      <c r="A139" t="s">
        <v>145</v>
      </c>
      <c r="B139" t="s">
        <v>10</v>
      </c>
      <c r="C139" s="1">
        <v>45435</v>
      </c>
      <c r="D139" s="1">
        <v>45800</v>
      </c>
      <c r="F139">
        <v>3999</v>
      </c>
      <c r="G139" s="2">
        <v>45413</v>
      </c>
      <c r="H139">
        <v>31</v>
      </c>
      <c r="I139" t="str">
        <f t="shared" si="8"/>
        <v>High</v>
      </c>
      <c r="J139">
        <v>13</v>
      </c>
      <c r="K139" t="str">
        <f t="shared" si="9"/>
        <v>High</v>
      </c>
      <c r="L139" t="str">
        <f t="shared" si="10"/>
        <v>High</v>
      </c>
      <c r="M139" t="str">
        <f t="shared" si="11"/>
        <v>No</v>
      </c>
    </row>
    <row r="140" spans="1:13" x14ac:dyDescent="0.3">
      <c r="A140" t="s">
        <v>146</v>
      </c>
      <c r="B140" t="s">
        <v>7</v>
      </c>
      <c r="C140" s="1">
        <v>45436</v>
      </c>
      <c r="D140" s="1">
        <v>45467</v>
      </c>
      <c r="F140">
        <v>499</v>
      </c>
      <c r="G140" s="2">
        <v>45413</v>
      </c>
      <c r="H140">
        <v>32</v>
      </c>
      <c r="I140" t="str">
        <f t="shared" si="8"/>
        <v>High</v>
      </c>
      <c r="J140">
        <v>15</v>
      </c>
      <c r="K140" t="str">
        <f t="shared" si="9"/>
        <v>High</v>
      </c>
      <c r="L140" t="str">
        <f t="shared" si="10"/>
        <v>High</v>
      </c>
      <c r="M140" t="str">
        <f t="shared" si="11"/>
        <v>No</v>
      </c>
    </row>
    <row r="141" spans="1:13" x14ac:dyDescent="0.3">
      <c r="A141" t="s">
        <v>147</v>
      </c>
      <c r="B141" t="s">
        <v>7</v>
      </c>
      <c r="C141" s="1">
        <v>45437</v>
      </c>
      <c r="D141" s="1">
        <v>45468</v>
      </c>
      <c r="E141" s="1">
        <v>45453</v>
      </c>
      <c r="F141">
        <v>499</v>
      </c>
      <c r="G141" s="2">
        <v>45413</v>
      </c>
      <c r="H141">
        <v>39</v>
      </c>
      <c r="I141" t="str">
        <f t="shared" si="8"/>
        <v>High</v>
      </c>
      <c r="J141">
        <v>16</v>
      </c>
      <c r="K141" t="str">
        <f t="shared" si="9"/>
        <v>High</v>
      </c>
      <c r="L141" t="str">
        <f t="shared" si="10"/>
        <v>High</v>
      </c>
      <c r="M141" t="str">
        <f t="shared" si="11"/>
        <v>No</v>
      </c>
    </row>
    <row r="142" spans="1:13" x14ac:dyDescent="0.3">
      <c r="A142" t="s">
        <v>148</v>
      </c>
      <c r="B142" t="s">
        <v>10</v>
      </c>
      <c r="C142" s="1">
        <v>45438</v>
      </c>
      <c r="D142" s="1">
        <v>45803</v>
      </c>
      <c r="F142">
        <v>3999</v>
      </c>
      <c r="G142" s="2">
        <v>45413</v>
      </c>
      <c r="H142">
        <v>3</v>
      </c>
      <c r="I142" t="str">
        <f t="shared" si="8"/>
        <v>Medium</v>
      </c>
      <c r="J142">
        <v>4</v>
      </c>
      <c r="K142" t="str">
        <f t="shared" si="9"/>
        <v>High</v>
      </c>
      <c r="L142" t="str">
        <f t="shared" si="10"/>
        <v>High</v>
      </c>
      <c r="M142" t="str">
        <f t="shared" si="11"/>
        <v>No</v>
      </c>
    </row>
    <row r="143" spans="1:13" x14ac:dyDescent="0.3">
      <c r="A143" t="s">
        <v>149</v>
      </c>
      <c r="B143" t="s">
        <v>7</v>
      </c>
      <c r="C143" s="1">
        <v>45439</v>
      </c>
      <c r="D143" s="1">
        <v>45470</v>
      </c>
      <c r="F143">
        <v>499</v>
      </c>
      <c r="G143" s="2">
        <v>45413</v>
      </c>
      <c r="H143">
        <v>4</v>
      </c>
      <c r="I143" t="str">
        <f t="shared" si="8"/>
        <v>Medium</v>
      </c>
      <c r="J143">
        <v>3</v>
      </c>
      <c r="K143" t="str">
        <f t="shared" si="9"/>
        <v>High</v>
      </c>
      <c r="L143" t="str">
        <f t="shared" si="10"/>
        <v>High</v>
      </c>
      <c r="M143" t="str">
        <f t="shared" si="11"/>
        <v>No</v>
      </c>
    </row>
    <row r="144" spans="1:13" x14ac:dyDescent="0.3">
      <c r="A144" t="s">
        <v>150</v>
      </c>
      <c r="B144" t="s">
        <v>7</v>
      </c>
      <c r="C144" s="1">
        <v>45440</v>
      </c>
      <c r="D144" s="1">
        <v>45471</v>
      </c>
      <c r="E144" s="1">
        <v>45455</v>
      </c>
      <c r="F144">
        <v>499</v>
      </c>
      <c r="G144" s="2">
        <v>45413</v>
      </c>
      <c r="H144">
        <v>35</v>
      </c>
      <c r="I144" t="str">
        <f t="shared" si="8"/>
        <v>High</v>
      </c>
      <c r="J144">
        <v>13</v>
      </c>
      <c r="K144" t="str">
        <f t="shared" si="9"/>
        <v>High</v>
      </c>
      <c r="L144" t="str">
        <f t="shared" si="10"/>
        <v>High</v>
      </c>
      <c r="M144" t="str">
        <f t="shared" si="11"/>
        <v>No</v>
      </c>
    </row>
    <row r="145" spans="1:13" x14ac:dyDescent="0.3">
      <c r="A145" t="s">
        <v>151</v>
      </c>
      <c r="B145" t="s">
        <v>10</v>
      </c>
      <c r="C145" s="1">
        <v>45441</v>
      </c>
      <c r="D145" s="1">
        <v>45806</v>
      </c>
      <c r="F145">
        <v>3999</v>
      </c>
      <c r="G145" s="2">
        <v>45413</v>
      </c>
      <c r="H145">
        <v>32</v>
      </c>
      <c r="I145" t="str">
        <f t="shared" si="8"/>
        <v>High</v>
      </c>
      <c r="J145">
        <v>14</v>
      </c>
      <c r="K145" t="str">
        <f t="shared" si="9"/>
        <v>High</v>
      </c>
      <c r="L145" t="str">
        <f t="shared" si="10"/>
        <v>High</v>
      </c>
      <c r="M145" t="str">
        <f t="shared" si="11"/>
        <v>No</v>
      </c>
    </row>
    <row r="146" spans="1:13" x14ac:dyDescent="0.3">
      <c r="A146" t="s">
        <v>152</v>
      </c>
      <c r="B146" t="s">
        <v>7</v>
      </c>
      <c r="C146" s="1">
        <v>45442</v>
      </c>
      <c r="D146" s="1">
        <v>45473</v>
      </c>
      <c r="F146">
        <v>499</v>
      </c>
      <c r="G146" s="2">
        <v>45413</v>
      </c>
      <c r="H146">
        <v>42</v>
      </c>
      <c r="I146" t="str">
        <f t="shared" si="8"/>
        <v>High</v>
      </c>
      <c r="J146">
        <v>17</v>
      </c>
      <c r="K146" t="str">
        <f t="shared" si="9"/>
        <v>High</v>
      </c>
      <c r="L146" t="str">
        <f t="shared" si="10"/>
        <v>High</v>
      </c>
      <c r="M146" t="str">
        <f t="shared" si="11"/>
        <v>No</v>
      </c>
    </row>
    <row r="147" spans="1:13" x14ac:dyDescent="0.3">
      <c r="A147" t="s">
        <v>153</v>
      </c>
      <c r="B147" t="s">
        <v>7</v>
      </c>
      <c r="C147" s="1">
        <v>45443</v>
      </c>
      <c r="D147" s="1">
        <v>45474</v>
      </c>
      <c r="E147" s="1">
        <v>45458</v>
      </c>
      <c r="F147">
        <v>499</v>
      </c>
      <c r="G147" s="2">
        <v>45413</v>
      </c>
      <c r="H147">
        <v>4</v>
      </c>
      <c r="I147" t="str">
        <f t="shared" si="8"/>
        <v>Medium</v>
      </c>
      <c r="J147">
        <v>3</v>
      </c>
      <c r="K147" t="str">
        <f t="shared" si="9"/>
        <v>High</v>
      </c>
      <c r="L147" t="str">
        <f t="shared" si="10"/>
        <v>High</v>
      </c>
      <c r="M147" t="str">
        <f t="shared" si="11"/>
        <v>No</v>
      </c>
    </row>
    <row r="148" spans="1:13" x14ac:dyDescent="0.3">
      <c r="A148" t="s">
        <v>154</v>
      </c>
      <c r="B148" t="s">
        <v>10</v>
      </c>
      <c r="C148" s="1">
        <v>45444</v>
      </c>
      <c r="D148" s="1">
        <v>45809</v>
      </c>
      <c r="F148">
        <v>3999</v>
      </c>
      <c r="G148" s="2">
        <v>45444</v>
      </c>
      <c r="H148">
        <v>7</v>
      </c>
      <c r="I148" t="str">
        <f t="shared" si="8"/>
        <v>High</v>
      </c>
      <c r="J148">
        <v>4</v>
      </c>
      <c r="K148" t="str">
        <f t="shared" si="9"/>
        <v>High</v>
      </c>
      <c r="L148" t="str">
        <f t="shared" si="10"/>
        <v>High</v>
      </c>
      <c r="M148" t="str">
        <f t="shared" si="11"/>
        <v>No</v>
      </c>
    </row>
    <row r="149" spans="1:13" x14ac:dyDescent="0.3">
      <c r="A149" t="s">
        <v>155</v>
      </c>
      <c r="B149" t="s">
        <v>7</v>
      </c>
      <c r="C149" s="1">
        <v>45445</v>
      </c>
      <c r="D149" s="1">
        <v>45475</v>
      </c>
      <c r="F149">
        <v>499</v>
      </c>
      <c r="G149" s="2">
        <v>45444</v>
      </c>
      <c r="H149">
        <v>36</v>
      </c>
      <c r="I149" t="str">
        <f t="shared" si="8"/>
        <v>High</v>
      </c>
      <c r="J149">
        <v>15</v>
      </c>
      <c r="K149" t="str">
        <f t="shared" si="9"/>
        <v>High</v>
      </c>
      <c r="L149" t="str">
        <f t="shared" si="10"/>
        <v>High</v>
      </c>
      <c r="M149" t="str">
        <f t="shared" si="11"/>
        <v>No</v>
      </c>
    </row>
    <row r="150" spans="1:13" x14ac:dyDescent="0.3">
      <c r="A150" t="s">
        <v>156</v>
      </c>
      <c r="B150" t="s">
        <v>7</v>
      </c>
      <c r="C150" s="1">
        <v>45446</v>
      </c>
      <c r="D150" s="1">
        <v>45476</v>
      </c>
      <c r="E150" s="1">
        <v>45461</v>
      </c>
      <c r="F150">
        <v>499</v>
      </c>
      <c r="G150" s="2">
        <v>45444</v>
      </c>
      <c r="H150">
        <v>36</v>
      </c>
      <c r="I150" t="str">
        <f t="shared" si="8"/>
        <v>High</v>
      </c>
      <c r="J150">
        <v>16</v>
      </c>
      <c r="K150" t="str">
        <f t="shared" si="9"/>
        <v>High</v>
      </c>
      <c r="L150" t="str">
        <f t="shared" si="10"/>
        <v>High</v>
      </c>
      <c r="M150" t="str">
        <f t="shared" si="11"/>
        <v>No</v>
      </c>
    </row>
    <row r="151" spans="1:13" x14ac:dyDescent="0.3">
      <c r="A151" t="s">
        <v>157</v>
      </c>
      <c r="B151" t="s">
        <v>10</v>
      </c>
      <c r="C151" s="1">
        <v>45447</v>
      </c>
      <c r="D151" s="1">
        <v>45812</v>
      </c>
      <c r="F151">
        <v>3999</v>
      </c>
      <c r="G151" s="2">
        <v>45444</v>
      </c>
      <c r="H151">
        <v>42</v>
      </c>
      <c r="I151" t="str">
        <f t="shared" si="8"/>
        <v>High</v>
      </c>
      <c r="J151">
        <v>17</v>
      </c>
      <c r="K151" t="str">
        <f t="shared" si="9"/>
        <v>High</v>
      </c>
      <c r="L151" t="str">
        <f t="shared" si="10"/>
        <v>High</v>
      </c>
      <c r="M151" t="str">
        <f t="shared" si="11"/>
        <v>No</v>
      </c>
    </row>
    <row r="152" spans="1:13" x14ac:dyDescent="0.3">
      <c r="A152" t="s">
        <v>158</v>
      </c>
      <c r="B152" t="s">
        <v>7</v>
      </c>
      <c r="C152" s="1">
        <v>45448</v>
      </c>
      <c r="D152" s="1">
        <v>45478</v>
      </c>
      <c r="F152">
        <v>499</v>
      </c>
      <c r="G152" s="2">
        <v>45444</v>
      </c>
      <c r="H152">
        <v>3</v>
      </c>
      <c r="I152" t="str">
        <f t="shared" si="8"/>
        <v>Medium</v>
      </c>
      <c r="J152">
        <v>2</v>
      </c>
      <c r="K152" t="str">
        <f t="shared" si="9"/>
        <v>Medium</v>
      </c>
      <c r="L152" t="str">
        <f t="shared" si="10"/>
        <v>Medium</v>
      </c>
      <c r="M152" t="str">
        <f t="shared" si="11"/>
        <v>No</v>
      </c>
    </row>
    <row r="153" spans="1:13" x14ac:dyDescent="0.3">
      <c r="A153" t="s">
        <v>159</v>
      </c>
      <c r="B153" t="s">
        <v>7</v>
      </c>
      <c r="C153" s="1">
        <v>45449</v>
      </c>
      <c r="D153" s="1">
        <v>45479</v>
      </c>
      <c r="E153" s="1">
        <v>45463</v>
      </c>
      <c r="F153">
        <v>499</v>
      </c>
      <c r="G153" s="2">
        <v>45444</v>
      </c>
      <c r="H153">
        <v>4</v>
      </c>
      <c r="I153" t="str">
        <f t="shared" si="8"/>
        <v>Medium</v>
      </c>
      <c r="J153">
        <v>3</v>
      </c>
      <c r="K153" t="str">
        <f t="shared" si="9"/>
        <v>High</v>
      </c>
      <c r="L153" t="str">
        <f t="shared" si="10"/>
        <v>High</v>
      </c>
      <c r="M153" t="str">
        <f t="shared" si="11"/>
        <v>No</v>
      </c>
    </row>
    <row r="154" spans="1:13" x14ac:dyDescent="0.3">
      <c r="A154" t="s">
        <v>160</v>
      </c>
      <c r="B154" t="s">
        <v>10</v>
      </c>
      <c r="C154" s="1">
        <v>45450</v>
      </c>
      <c r="D154" s="1">
        <v>45815</v>
      </c>
      <c r="F154">
        <v>3999</v>
      </c>
      <c r="G154" s="2">
        <v>45444</v>
      </c>
      <c r="H154">
        <v>32</v>
      </c>
      <c r="I154" t="str">
        <f t="shared" si="8"/>
        <v>High</v>
      </c>
      <c r="J154">
        <v>14</v>
      </c>
      <c r="K154" t="str">
        <f t="shared" si="9"/>
        <v>High</v>
      </c>
      <c r="L154" t="str">
        <f t="shared" si="10"/>
        <v>High</v>
      </c>
      <c r="M154" t="str">
        <f t="shared" si="11"/>
        <v>No</v>
      </c>
    </row>
    <row r="155" spans="1:13" x14ac:dyDescent="0.3">
      <c r="A155" t="s">
        <v>161</v>
      </c>
      <c r="B155" t="s">
        <v>7</v>
      </c>
      <c r="C155" s="1">
        <v>45451</v>
      </c>
      <c r="D155" s="1">
        <v>45481</v>
      </c>
      <c r="F155">
        <v>499</v>
      </c>
      <c r="G155" s="2">
        <v>45444</v>
      </c>
      <c r="H155">
        <v>34</v>
      </c>
      <c r="I155" t="str">
        <f t="shared" si="8"/>
        <v>High</v>
      </c>
      <c r="J155">
        <v>14</v>
      </c>
      <c r="K155" t="str">
        <f t="shared" si="9"/>
        <v>High</v>
      </c>
      <c r="L155" t="str">
        <f t="shared" si="10"/>
        <v>High</v>
      </c>
      <c r="M155" t="str">
        <f t="shared" si="11"/>
        <v>No</v>
      </c>
    </row>
    <row r="156" spans="1:13" x14ac:dyDescent="0.3">
      <c r="A156" t="s">
        <v>162</v>
      </c>
      <c r="B156" t="s">
        <v>7</v>
      </c>
      <c r="C156" s="1">
        <v>45452</v>
      </c>
      <c r="D156" s="1">
        <v>45482</v>
      </c>
      <c r="E156" s="1">
        <v>45465</v>
      </c>
      <c r="F156">
        <v>499</v>
      </c>
      <c r="G156" s="2">
        <v>45444</v>
      </c>
      <c r="H156">
        <v>40</v>
      </c>
      <c r="I156" t="str">
        <f t="shared" si="8"/>
        <v>High</v>
      </c>
      <c r="J156">
        <v>13</v>
      </c>
      <c r="K156" t="str">
        <f t="shared" si="9"/>
        <v>High</v>
      </c>
      <c r="L156" t="str">
        <f t="shared" si="10"/>
        <v>High</v>
      </c>
      <c r="M156" t="str">
        <f t="shared" si="11"/>
        <v>No</v>
      </c>
    </row>
    <row r="157" spans="1:13" x14ac:dyDescent="0.3">
      <c r="A157" t="s">
        <v>163</v>
      </c>
      <c r="B157" t="s">
        <v>10</v>
      </c>
      <c r="C157" s="1">
        <v>45453</v>
      </c>
      <c r="D157" s="1">
        <v>45818</v>
      </c>
      <c r="F157">
        <v>3999</v>
      </c>
      <c r="G157" s="2">
        <v>45444</v>
      </c>
      <c r="H157">
        <v>5</v>
      </c>
      <c r="I157" t="str">
        <f t="shared" si="8"/>
        <v>High</v>
      </c>
      <c r="J157">
        <v>5</v>
      </c>
      <c r="K157" t="str">
        <f t="shared" si="9"/>
        <v>High</v>
      </c>
      <c r="L157" t="str">
        <f t="shared" si="10"/>
        <v>High</v>
      </c>
      <c r="M157" t="str">
        <f t="shared" si="11"/>
        <v>No</v>
      </c>
    </row>
    <row r="158" spans="1:13" x14ac:dyDescent="0.3">
      <c r="A158" t="s">
        <v>164</v>
      </c>
      <c r="B158" t="s">
        <v>7</v>
      </c>
      <c r="C158" s="1">
        <v>45454</v>
      </c>
      <c r="D158" s="1">
        <v>45484</v>
      </c>
      <c r="F158">
        <v>499</v>
      </c>
      <c r="G158" s="2">
        <v>45444</v>
      </c>
      <c r="H158">
        <v>2</v>
      </c>
      <c r="I158" t="str">
        <f t="shared" si="8"/>
        <v>Medium</v>
      </c>
      <c r="J158">
        <v>4</v>
      </c>
      <c r="K158" t="str">
        <f t="shared" si="9"/>
        <v>High</v>
      </c>
      <c r="L158" t="str">
        <f t="shared" si="10"/>
        <v>High</v>
      </c>
      <c r="M158" t="str">
        <f t="shared" si="11"/>
        <v>No</v>
      </c>
    </row>
    <row r="159" spans="1:13" x14ac:dyDescent="0.3">
      <c r="A159" t="s">
        <v>165</v>
      </c>
      <c r="B159" t="s">
        <v>7</v>
      </c>
      <c r="C159" s="1">
        <v>45455</v>
      </c>
      <c r="D159" s="1">
        <v>45485</v>
      </c>
      <c r="E159" s="1">
        <v>45468</v>
      </c>
      <c r="F159">
        <v>499</v>
      </c>
      <c r="G159" s="2">
        <v>45444</v>
      </c>
      <c r="H159">
        <v>30</v>
      </c>
      <c r="I159" t="str">
        <f t="shared" si="8"/>
        <v>High</v>
      </c>
      <c r="J159">
        <v>16</v>
      </c>
      <c r="K159" t="str">
        <f t="shared" si="9"/>
        <v>High</v>
      </c>
      <c r="L159" t="str">
        <f t="shared" si="10"/>
        <v>High</v>
      </c>
      <c r="M159" t="str">
        <f t="shared" si="11"/>
        <v>No</v>
      </c>
    </row>
    <row r="160" spans="1:13" x14ac:dyDescent="0.3">
      <c r="A160" t="s">
        <v>166</v>
      </c>
      <c r="B160" t="s">
        <v>10</v>
      </c>
      <c r="C160" s="1">
        <v>45456</v>
      </c>
      <c r="D160" s="1">
        <v>45821</v>
      </c>
      <c r="F160">
        <v>3999</v>
      </c>
      <c r="G160" s="2">
        <v>45444</v>
      </c>
      <c r="H160">
        <v>31</v>
      </c>
      <c r="I160" t="str">
        <f t="shared" si="8"/>
        <v>High</v>
      </c>
      <c r="J160">
        <v>12</v>
      </c>
      <c r="K160" t="str">
        <f t="shared" si="9"/>
        <v>High</v>
      </c>
      <c r="L160" t="str">
        <f t="shared" si="10"/>
        <v>High</v>
      </c>
      <c r="M160" t="str">
        <f t="shared" si="11"/>
        <v>No</v>
      </c>
    </row>
    <row r="161" spans="1:13" x14ac:dyDescent="0.3">
      <c r="A161" t="s">
        <v>167</v>
      </c>
      <c r="B161" t="s">
        <v>7</v>
      </c>
      <c r="C161" s="1">
        <v>45457</v>
      </c>
      <c r="D161" s="1">
        <v>45487</v>
      </c>
      <c r="F161">
        <v>499</v>
      </c>
      <c r="G161" s="2">
        <v>45444</v>
      </c>
      <c r="H161">
        <v>39</v>
      </c>
      <c r="I161" t="str">
        <f t="shared" si="8"/>
        <v>High</v>
      </c>
      <c r="J161">
        <v>17</v>
      </c>
      <c r="K161" t="str">
        <f t="shared" si="9"/>
        <v>High</v>
      </c>
      <c r="L161" t="str">
        <f t="shared" si="10"/>
        <v>High</v>
      </c>
      <c r="M161" t="str">
        <f t="shared" si="11"/>
        <v>No</v>
      </c>
    </row>
    <row r="162" spans="1:13" x14ac:dyDescent="0.3">
      <c r="A162" t="s">
        <v>168</v>
      </c>
      <c r="B162" t="s">
        <v>7</v>
      </c>
      <c r="C162" s="1">
        <v>45458</v>
      </c>
      <c r="D162" s="1">
        <v>45488</v>
      </c>
      <c r="E162" s="1">
        <v>45471</v>
      </c>
      <c r="F162">
        <v>499</v>
      </c>
      <c r="G162" s="2">
        <v>45444</v>
      </c>
      <c r="H162">
        <v>4</v>
      </c>
      <c r="I162" t="str">
        <f t="shared" si="8"/>
        <v>Medium</v>
      </c>
      <c r="J162">
        <v>6</v>
      </c>
      <c r="K162" t="str">
        <f t="shared" si="9"/>
        <v>High</v>
      </c>
      <c r="L162" t="str">
        <f t="shared" si="10"/>
        <v>High</v>
      </c>
      <c r="M162" t="str">
        <f t="shared" si="11"/>
        <v>No</v>
      </c>
    </row>
    <row r="163" spans="1:13" x14ac:dyDescent="0.3">
      <c r="A163" t="s">
        <v>169</v>
      </c>
      <c r="B163" t="s">
        <v>10</v>
      </c>
      <c r="C163" s="1">
        <v>45459</v>
      </c>
      <c r="D163" s="1">
        <v>45824</v>
      </c>
      <c r="F163">
        <v>3999</v>
      </c>
      <c r="G163" s="2">
        <v>45444</v>
      </c>
      <c r="H163">
        <v>5</v>
      </c>
      <c r="I163" t="str">
        <f t="shared" si="8"/>
        <v>High</v>
      </c>
      <c r="J163">
        <v>2</v>
      </c>
      <c r="K163" t="str">
        <f t="shared" si="9"/>
        <v>Medium</v>
      </c>
      <c r="L163" t="str">
        <f t="shared" si="10"/>
        <v>High</v>
      </c>
      <c r="M163" t="str">
        <f t="shared" si="11"/>
        <v>No</v>
      </c>
    </row>
    <row r="164" spans="1:13" x14ac:dyDescent="0.3">
      <c r="A164" t="s">
        <v>170</v>
      </c>
      <c r="B164" t="s">
        <v>7</v>
      </c>
      <c r="C164" s="1">
        <v>45460</v>
      </c>
      <c r="D164" s="1">
        <v>45490</v>
      </c>
      <c r="F164">
        <v>499</v>
      </c>
      <c r="G164" s="2">
        <v>45444</v>
      </c>
      <c r="H164">
        <v>35</v>
      </c>
      <c r="I164" t="str">
        <f t="shared" si="8"/>
        <v>High</v>
      </c>
      <c r="J164">
        <v>14</v>
      </c>
      <c r="K164" t="str">
        <f t="shared" si="9"/>
        <v>High</v>
      </c>
      <c r="L164" t="str">
        <f t="shared" si="10"/>
        <v>High</v>
      </c>
      <c r="M164" t="str">
        <f t="shared" si="11"/>
        <v>No</v>
      </c>
    </row>
    <row r="165" spans="1:13" x14ac:dyDescent="0.3">
      <c r="A165" t="s">
        <v>171</v>
      </c>
      <c r="B165" t="s">
        <v>7</v>
      </c>
      <c r="C165" s="1">
        <v>45461</v>
      </c>
      <c r="D165" s="1">
        <v>45491</v>
      </c>
      <c r="E165" s="1">
        <v>45473</v>
      </c>
      <c r="F165">
        <v>499</v>
      </c>
      <c r="G165" s="2">
        <v>45444</v>
      </c>
      <c r="H165">
        <v>32</v>
      </c>
      <c r="I165" t="str">
        <f t="shared" si="8"/>
        <v>High</v>
      </c>
      <c r="J165">
        <v>12</v>
      </c>
      <c r="K165" t="str">
        <f t="shared" si="9"/>
        <v>High</v>
      </c>
      <c r="L165" t="str">
        <f t="shared" si="10"/>
        <v>High</v>
      </c>
      <c r="M165" t="str">
        <f t="shared" si="11"/>
        <v>No</v>
      </c>
    </row>
    <row r="166" spans="1:13" x14ac:dyDescent="0.3">
      <c r="A166" t="s">
        <v>172</v>
      </c>
      <c r="B166" t="s">
        <v>10</v>
      </c>
      <c r="C166" s="1">
        <v>45462</v>
      </c>
      <c r="D166" s="1">
        <v>45827</v>
      </c>
      <c r="F166">
        <v>3999</v>
      </c>
      <c r="G166" s="2">
        <v>45444</v>
      </c>
      <c r="H166">
        <v>39</v>
      </c>
      <c r="I166" t="str">
        <f t="shared" si="8"/>
        <v>High</v>
      </c>
      <c r="J166">
        <v>15</v>
      </c>
      <c r="K166" t="str">
        <f t="shared" si="9"/>
        <v>High</v>
      </c>
      <c r="L166" t="str">
        <f t="shared" si="10"/>
        <v>High</v>
      </c>
      <c r="M166" t="str">
        <f t="shared" si="11"/>
        <v>No</v>
      </c>
    </row>
    <row r="167" spans="1:13" x14ac:dyDescent="0.3">
      <c r="A167" t="s">
        <v>173</v>
      </c>
      <c r="B167" t="s">
        <v>7</v>
      </c>
      <c r="C167" s="1">
        <v>45463</v>
      </c>
      <c r="D167" s="1">
        <v>45493</v>
      </c>
      <c r="F167">
        <v>499</v>
      </c>
      <c r="G167" s="2">
        <v>45444</v>
      </c>
      <c r="H167">
        <v>5</v>
      </c>
      <c r="I167" t="str">
        <f t="shared" si="8"/>
        <v>High</v>
      </c>
      <c r="J167">
        <v>10</v>
      </c>
      <c r="K167" t="str">
        <f t="shared" si="9"/>
        <v>High</v>
      </c>
      <c r="L167" t="str">
        <f t="shared" si="10"/>
        <v>High</v>
      </c>
      <c r="M167" t="str">
        <f t="shared" si="11"/>
        <v>No</v>
      </c>
    </row>
    <row r="168" spans="1:13" x14ac:dyDescent="0.3">
      <c r="A168" t="s">
        <v>174</v>
      </c>
      <c r="B168" t="s">
        <v>7</v>
      </c>
      <c r="C168" s="1">
        <v>45464</v>
      </c>
      <c r="D168" s="1">
        <v>45494</v>
      </c>
      <c r="E168" s="1">
        <v>45475</v>
      </c>
      <c r="F168">
        <v>499</v>
      </c>
      <c r="G168" s="2">
        <v>45444</v>
      </c>
      <c r="H168">
        <v>7</v>
      </c>
      <c r="I168" t="str">
        <f t="shared" si="8"/>
        <v>High</v>
      </c>
      <c r="J168">
        <v>9</v>
      </c>
      <c r="K168" t="str">
        <f t="shared" si="9"/>
        <v>High</v>
      </c>
      <c r="L168" t="str">
        <f t="shared" si="10"/>
        <v>High</v>
      </c>
      <c r="M168" t="str">
        <f t="shared" si="11"/>
        <v>No</v>
      </c>
    </row>
    <row r="169" spans="1:13" x14ac:dyDescent="0.3">
      <c r="A169" t="s">
        <v>175</v>
      </c>
      <c r="B169" t="s">
        <v>10</v>
      </c>
      <c r="C169" s="1">
        <v>45465</v>
      </c>
      <c r="D169" s="1">
        <v>45830</v>
      </c>
      <c r="F169">
        <v>3999</v>
      </c>
      <c r="G169" s="2">
        <v>45444</v>
      </c>
      <c r="H169">
        <v>32</v>
      </c>
      <c r="I169" t="str">
        <f t="shared" si="8"/>
        <v>High</v>
      </c>
      <c r="J169">
        <v>11</v>
      </c>
      <c r="K169" t="str">
        <f t="shared" si="9"/>
        <v>High</v>
      </c>
      <c r="L169" t="str">
        <f t="shared" si="10"/>
        <v>High</v>
      </c>
      <c r="M169" t="str">
        <f t="shared" si="11"/>
        <v>No</v>
      </c>
    </row>
    <row r="170" spans="1:13" x14ac:dyDescent="0.3">
      <c r="A170" t="s">
        <v>176</v>
      </c>
      <c r="B170" t="s">
        <v>7</v>
      </c>
      <c r="C170" s="1">
        <v>45466</v>
      </c>
      <c r="D170" s="1">
        <v>45496</v>
      </c>
      <c r="F170">
        <v>499</v>
      </c>
      <c r="G170" s="2">
        <v>45444</v>
      </c>
      <c r="H170">
        <v>30</v>
      </c>
      <c r="I170" t="str">
        <f t="shared" si="8"/>
        <v>High</v>
      </c>
      <c r="J170">
        <v>8</v>
      </c>
      <c r="K170" t="str">
        <f t="shared" si="9"/>
        <v>High</v>
      </c>
      <c r="L170" t="str">
        <f t="shared" si="10"/>
        <v>High</v>
      </c>
      <c r="M170" t="str">
        <f t="shared" si="11"/>
        <v>No</v>
      </c>
    </row>
    <row r="171" spans="1:13" x14ac:dyDescent="0.3">
      <c r="A171" t="s">
        <v>177</v>
      </c>
      <c r="B171" t="s">
        <v>7</v>
      </c>
      <c r="C171" s="1">
        <v>45467</v>
      </c>
      <c r="D171" s="1">
        <v>45497</v>
      </c>
      <c r="E171" s="1">
        <v>45477</v>
      </c>
      <c r="F171">
        <v>499</v>
      </c>
      <c r="G171" s="2">
        <v>45444</v>
      </c>
      <c r="H171">
        <v>41</v>
      </c>
      <c r="I171" t="str">
        <f t="shared" si="8"/>
        <v>High</v>
      </c>
      <c r="J171">
        <v>14</v>
      </c>
      <c r="K171" t="str">
        <f t="shared" si="9"/>
        <v>High</v>
      </c>
      <c r="L171" t="str">
        <f t="shared" si="10"/>
        <v>High</v>
      </c>
      <c r="M171" t="str">
        <f t="shared" si="11"/>
        <v>No</v>
      </c>
    </row>
    <row r="172" spans="1:13" x14ac:dyDescent="0.3">
      <c r="A172" t="s">
        <v>178</v>
      </c>
      <c r="B172" t="s">
        <v>10</v>
      </c>
      <c r="C172" s="1">
        <v>45468</v>
      </c>
      <c r="D172" s="1">
        <v>45833</v>
      </c>
      <c r="F172">
        <v>3999</v>
      </c>
      <c r="G172" s="2">
        <v>45444</v>
      </c>
      <c r="H172">
        <v>3</v>
      </c>
      <c r="I172" t="str">
        <f t="shared" si="8"/>
        <v>Medium</v>
      </c>
      <c r="J172">
        <v>6</v>
      </c>
      <c r="K172" t="str">
        <f t="shared" si="9"/>
        <v>High</v>
      </c>
      <c r="L172" t="str">
        <f t="shared" si="10"/>
        <v>High</v>
      </c>
      <c r="M172" t="str">
        <f t="shared" si="11"/>
        <v>No</v>
      </c>
    </row>
    <row r="173" spans="1:13" x14ac:dyDescent="0.3">
      <c r="A173" t="s">
        <v>179</v>
      </c>
      <c r="B173" t="s">
        <v>7</v>
      </c>
      <c r="C173" s="1">
        <v>45469</v>
      </c>
      <c r="D173" s="1">
        <v>45499</v>
      </c>
      <c r="F173">
        <v>499</v>
      </c>
      <c r="G173" s="2">
        <v>45444</v>
      </c>
      <c r="H173">
        <v>5</v>
      </c>
      <c r="I173" t="str">
        <f t="shared" si="8"/>
        <v>High</v>
      </c>
      <c r="J173">
        <v>7</v>
      </c>
      <c r="K173" t="str">
        <f t="shared" si="9"/>
        <v>High</v>
      </c>
      <c r="L173" t="str">
        <f t="shared" si="10"/>
        <v>High</v>
      </c>
      <c r="M173" t="str">
        <f t="shared" si="11"/>
        <v>No</v>
      </c>
    </row>
    <row r="174" spans="1:13" x14ac:dyDescent="0.3">
      <c r="A174" t="s">
        <v>180</v>
      </c>
      <c r="B174" t="s">
        <v>7</v>
      </c>
      <c r="C174" s="1">
        <v>45470</v>
      </c>
      <c r="D174" s="1">
        <v>45500</v>
      </c>
      <c r="E174" s="1">
        <v>45479</v>
      </c>
      <c r="F174">
        <v>499</v>
      </c>
      <c r="G174" s="2">
        <v>45444</v>
      </c>
      <c r="H174">
        <v>28</v>
      </c>
      <c r="I174" t="str">
        <f t="shared" si="8"/>
        <v>High</v>
      </c>
      <c r="J174">
        <v>15</v>
      </c>
      <c r="K174" t="str">
        <f t="shared" si="9"/>
        <v>High</v>
      </c>
      <c r="L174" t="str">
        <f t="shared" si="10"/>
        <v>High</v>
      </c>
      <c r="M174" t="str">
        <f t="shared" si="11"/>
        <v>No</v>
      </c>
    </row>
    <row r="175" spans="1:13" x14ac:dyDescent="0.3">
      <c r="A175" t="s">
        <v>181</v>
      </c>
      <c r="B175" t="s">
        <v>10</v>
      </c>
      <c r="C175" s="1">
        <v>45471</v>
      </c>
      <c r="D175" s="1">
        <v>45836</v>
      </c>
      <c r="F175">
        <v>3999</v>
      </c>
      <c r="G175" s="2">
        <v>45444</v>
      </c>
      <c r="H175">
        <v>34</v>
      </c>
      <c r="I175" t="str">
        <f t="shared" si="8"/>
        <v>High</v>
      </c>
      <c r="J175">
        <v>9</v>
      </c>
      <c r="K175" t="str">
        <f t="shared" si="9"/>
        <v>High</v>
      </c>
      <c r="L175" t="str">
        <f t="shared" si="10"/>
        <v>High</v>
      </c>
      <c r="M175" t="str">
        <f t="shared" si="11"/>
        <v>No</v>
      </c>
    </row>
    <row r="176" spans="1:13" x14ac:dyDescent="0.3">
      <c r="A176" t="s">
        <v>182</v>
      </c>
      <c r="B176" t="s">
        <v>7</v>
      </c>
      <c r="C176" s="1">
        <v>45472</v>
      </c>
      <c r="D176" s="1">
        <v>45502</v>
      </c>
      <c r="F176">
        <v>499</v>
      </c>
      <c r="G176" s="2">
        <v>45444</v>
      </c>
      <c r="H176">
        <v>33</v>
      </c>
      <c r="I176" t="str">
        <f t="shared" si="8"/>
        <v>High</v>
      </c>
      <c r="J176">
        <v>12</v>
      </c>
      <c r="K176" t="str">
        <f t="shared" si="9"/>
        <v>High</v>
      </c>
      <c r="L176" t="str">
        <f t="shared" si="10"/>
        <v>High</v>
      </c>
      <c r="M176" t="str">
        <f t="shared" si="11"/>
        <v>No</v>
      </c>
    </row>
    <row r="177" spans="1:13" x14ac:dyDescent="0.3">
      <c r="A177" t="s">
        <v>183</v>
      </c>
      <c r="B177" t="s">
        <v>7</v>
      </c>
      <c r="C177" s="1">
        <v>45473</v>
      </c>
      <c r="D177" s="1">
        <v>45503</v>
      </c>
      <c r="E177" s="1">
        <v>45481</v>
      </c>
      <c r="F177">
        <v>499</v>
      </c>
      <c r="G177" s="2">
        <v>45444</v>
      </c>
      <c r="H177">
        <v>4</v>
      </c>
      <c r="I177" t="str">
        <f t="shared" si="8"/>
        <v>Medium</v>
      </c>
      <c r="J177">
        <v>13</v>
      </c>
      <c r="K177" t="str">
        <f t="shared" si="9"/>
        <v>High</v>
      </c>
      <c r="L177" t="str">
        <f t="shared" si="10"/>
        <v>High</v>
      </c>
      <c r="M177" t="str">
        <f t="shared" si="11"/>
        <v>No</v>
      </c>
    </row>
    <row r="178" spans="1:13" x14ac:dyDescent="0.3">
      <c r="A178" t="s">
        <v>184</v>
      </c>
      <c r="B178" t="s">
        <v>10</v>
      </c>
      <c r="C178" s="1">
        <v>45474</v>
      </c>
      <c r="D178" s="1">
        <v>45839</v>
      </c>
      <c r="F178">
        <v>3999</v>
      </c>
      <c r="G178" s="2">
        <v>45474</v>
      </c>
      <c r="H178">
        <v>6</v>
      </c>
      <c r="I178" t="str">
        <f t="shared" si="8"/>
        <v>High</v>
      </c>
      <c r="J178">
        <v>11</v>
      </c>
      <c r="K178" t="str">
        <f t="shared" si="9"/>
        <v>High</v>
      </c>
      <c r="L178" t="str">
        <f t="shared" si="10"/>
        <v>High</v>
      </c>
      <c r="M178" t="str">
        <f t="shared" si="11"/>
        <v>No</v>
      </c>
    </row>
    <row r="179" spans="1:13" x14ac:dyDescent="0.3">
      <c r="A179" t="s">
        <v>185</v>
      </c>
      <c r="B179" t="s">
        <v>7</v>
      </c>
      <c r="C179" s="1">
        <v>45475</v>
      </c>
      <c r="D179" s="1">
        <v>45506</v>
      </c>
      <c r="F179">
        <v>499</v>
      </c>
      <c r="G179" s="2">
        <v>45474</v>
      </c>
      <c r="H179">
        <v>34</v>
      </c>
      <c r="I179" t="str">
        <f t="shared" si="8"/>
        <v>High</v>
      </c>
      <c r="J179">
        <v>10</v>
      </c>
      <c r="K179" t="str">
        <f t="shared" si="9"/>
        <v>High</v>
      </c>
      <c r="L179" t="str">
        <f t="shared" si="10"/>
        <v>High</v>
      </c>
      <c r="M179" t="str">
        <f t="shared" si="11"/>
        <v>No</v>
      </c>
    </row>
    <row r="180" spans="1:13" x14ac:dyDescent="0.3">
      <c r="A180" t="s">
        <v>186</v>
      </c>
      <c r="B180" t="s">
        <v>7</v>
      </c>
      <c r="C180" s="1">
        <v>45476</v>
      </c>
      <c r="D180" s="1">
        <v>45507</v>
      </c>
      <c r="E180" s="1">
        <v>45483</v>
      </c>
      <c r="F180">
        <v>499</v>
      </c>
      <c r="G180" s="2">
        <v>45474</v>
      </c>
      <c r="H180">
        <v>34</v>
      </c>
      <c r="I180" t="str">
        <f t="shared" si="8"/>
        <v>High</v>
      </c>
      <c r="J180">
        <v>14</v>
      </c>
      <c r="K180" t="str">
        <f t="shared" si="9"/>
        <v>High</v>
      </c>
      <c r="L180" t="str">
        <f t="shared" si="10"/>
        <v>High</v>
      </c>
      <c r="M180" t="str">
        <f t="shared" si="11"/>
        <v>No</v>
      </c>
    </row>
    <row r="181" spans="1:13" x14ac:dyDescent="0.3">
      <c r="A181" t="s">
        <v>187</v>
      </c>
      <c r="B181" t="s">
        <v>10</v>
      </c>
      <c r="C181" s="1">
        <v>45477</v>
      </c>
      <c r="D181" s="1">
        <v>45842</v>
      </c>
      <c r="F181">
        <v>3999</v>
      </c>
      <c r="G181" s="2">
        <v>45474</v>
      </c>
      <c r="H181">
        <v>39</v>
      </c>
      <c r="I181" t="str">
        <f t="shared" si="8"/>
        <v>High</v>
      </c>
      <c r="J181">
        <v>16</v>
      </c>
      <c r="K181" t="str">
        <f t="shared" si="9"/>
        <v>High</v>
      </c>
      <c r="L181" t="str">
        <f t="shared" si="10"/>
        <v>High</v>
      </c>
      <c r="M181" t="str">
        <f t="shared" si="11"/>
        <v>No</v>
      </c>
    </row>
    <row r="182" spans="1:13" x14ac:dyDescent="0.3">
      <c r="A182" t="s">
        <v>188</v>
      </c>
      <c r="B182" t="s">
        <v>7</v>
      </c>
      <c r="C182" s="1">
        <v>45478</v>
      </c>
      <c r="D182" s="1">
        <v>45509</v>
      </c>
      <c r="F182">
        <v>499</v>
      </c>
      <c r="G182" s="2">
        <v>45474</v>
      </c>
      <c r="H182">
        <v>1</v>
      </c>
      <c r="I182" t="str">
        <f t="shared" si="8"/>
        <v>Low</v>
      </c>
      <c r="J182">
        <v>8</v>
      </c>
      <c r="K182" t="str">
        <f t="shared" si="9"/>
        <v>High</v>
      </c>
      <c r="L182" t="str">
        <f t="shared" si="10"/>
        <v>High</v>
      </c>
      <c r="M182" t="str">
        <f t="shared" si="11"/>
        <v>No</v>
      </c>
    </row>
    <row r="183" spans="1:13" x14ac:dyDescent="0.3">
      <c r="A183" t="s">
        <v>189</v>
      </c>
      <c r="B183" t="s">
        <v>7</v>
      </c>
      <c r="C183" s="1">
        <v>45479</v>
      </c>
      <c r="D183" s="1">
        <v>45510</v>
      </c>
      <c r="E183" s="1">
        <v>45485</v>
      </c>
      <c r="F183">
        <v>499</v>
      </c>
      <c r="G183" s="2">
        <v>45474</v>
      </c>
      <c r="H183">
        <v>3</v>
      </c>
      <c r="I183" t="str">
        <f t="shared" si="8"/>
        <v>Medium</v>
      </c>
      <c r="J183">
        <v>9</v>
      </c>
      <c r="K183" t="str">
        <f t="shared" si="9"/>
        <v>High</v>
      </c>
      <c r="L183" t="str">
        <f t="shared" si="10"/>
        <v>High</v>
      </c>
      <c r="M183" t="str">
        <f t="shared" si="11"/>
        <v>No</v>
      </c>
    </row>
    <row r="184" spans="1:13" x14ac:dyDescent="0.3">
      <c r="A184" t="s">
        <v>190</v>
      </c>
      <c r="B184" t="s">
        <v>10</v>
      </c>
      <c r="C184" s="1">
        <v>45480</v>
      </c>
      <c r="D184" s="1">
        <v>45845</v>
      </c>
      <c r="F184">
        <v>3999</v>
      </c>
      <c r="G184" s="2">
        <v>45474</v>
      </c>
      <c r="H184">
        <v>30</v>
      </c>
      <c r="I184" t="str">
        <f t="shared" si="8"/>
        <v>High</v>
      </c>
      <c r="J184">
        <v>12</v>
      </c>
      <c r="K184" t="str">
        <f t="shared" si="9"/>
        <v>High</v>
      </c>
      <c r="L184" t="str">
        <f t="shared" si="10"/>
        <v>High</v>
      </c>
      <c r="M184" t="str">
        <f t="shared" si="11"/>
        <v>No</v>
      </c>
    </row>
    <row r="185" spans="1:13" x14ac:dyDescent="0.3">
      <c r="A185" t="s">
        <v>191</v>
      </c>
      <c r="B185" t="s">
        <v>7</v>
      </c>
      <c r="C185" s="1">
        <v>45481</v>
      </c>
      <c r="D185" s="1">
        <v>45512</v>
      </c>
      <c r="F185">
        <v>499</v>
      </c>
      <c r="G185" s="2">
        <v>45474</v>
      </c>
      <c r="H185">
        <v>35</v>
      </c>
      <c r="I185" t="str">
        <f t="shared" si="8"/>
        <v>High</v>
      </c>
      <c r="J185">
        <v>15</v>
      </c>
      <c r="K185" t="str">
        <f t="shared" si="9"/>
        <v>High</v>
      </c>
      <c r="L185" t="str">
        <f t="shared" si="10"/>
        <v>High</v>
      </c>
      <c r="M185" t="str">
        <f t="shared" si="11"/>
        <v>No</v>
      </c>
    </row>
    <row r="186" spans="1:13" x14ac:dyDescent="0.3">
      <c r="A186" t="s">
        <v>192</v>
      </c>
      <c r="B186" t="s">
        <v>7</v>
      </c>
      <c r="C186" s="1">
        <v>45482</v>
      </c>
      <c r="D186" s="1">
        <v>45513</v>
      </c>
      <c r="E186" s="1">
        <v>45487</v>
      </c>
      <c r="F186">
        <v>499</v>
      </c>
      <c r="G186" s="2">
        <v>45474</v>
      </c>
      <c r="H186">
        <v>37</v>
      </c>
      <c r="I186" t="str">
        <f t="shared" si="8"/>
        <v>High</v>
      </c>
      <c r="J186">
        <v>16</v>
      </c>
      <c r="K186" t="str">
        <f t="shared" si="9"/>
        <v>High</v>
      </c>
      <c r="L186" t="str">
        <f t="shared" si="10"/>
        <v>High</v>
      </c>
      <c r="M186" t="str">
        <f t="shared" si="11"/>
        <v>No</v>
      </c>
    </row>
    <row r="187" spans="1:13" x14ac:dyDescent="0.3">
      <c r="A187" t="s">
        <v>193</v>
      </c>
      <c r="B187" t="s">
        <v>10</v>
      </c>
      <c r="C187" s="1">
        <v>45483</v>
      </c>
      <c r="D187" s="1">
        <v>45848</v>
      </c>
      <c r="F187">
        <v>3999</v>
      </c>
      <c r="G187" s="2">
        <v>45474</v>
      </c>
      <c r="H187">
        <v>4</v>
      </c>
      <c r="I187" t="str">
        <f t="shared" si="8"/>
        <v>Medium</v>
      </c>
      <c r="J187">
        <v>4</v>
      </c>
      <c r="K187" t="str">
        <f t="shared" si="9"/>
        <v>High</v>
      </c>
      <c r="L187" t="str">
        <f t="shared" si="10"/>
        <v>High</v>
      </c>
      <c r="M187" t="str">
        <f t="shared" si="11"/>
        <v>No</v>
      </c>
    </row>
    <row r="188" spans="1:13" x14ac:dyDescent="0.3">
      <c r="A188" t="s">
        <v>194</v>
      </c>
      <c r="B188" t="s">
        <v>7</v>
      </c>
      <c r="C188" s="1">
        <v>45484</v>
      </c>
      <c r="D188" s="1">
        <v>45515</v>
      </c>
      <c r="F188">
        <v>499</v>
      </c>
      <c r="G188" s="2">
        <v>45474</v>
      </c>
      <c r="H188">
        <v>3</v>
      </c>
      <c r="I188" t="str">
        <f t="shared" si="8"/>
        <v>Medium</v>
      </c>
      <c r="J188">
        <v>5</v>
      </c>
      <c r="K188" t="str">
        <f t="shared" si="9"/>
        <v>High</v>
      </c>
      <c r="L188" t="str">
        <f t="shared" si="10"/>
        <v>High</v>
      </c>
      <c r="M188" t="str">
        <f t="shared" si="11"/>
        <v>No</v>
      </c>
    </row>
    <row r="189" spans="1:13" x14ac:dyDescent="0.3">
      <c r="A189" t="s">
        <v>195</v>
      </c>
      <c r="B189" t="s">
        <v>7</v>
      </c>
      <c r="C189" s="1">
        <v>45485</v>
      </c>
      <c r="D189" s="1">
        <v>45516</v>
      </c>
      <c r="E189" s="1">
        <v>45489</v>
      </c>
      <c r="F189">
        <v>499</v>
      </c>
      <c r="G189" s="2">
        <v>45474</v>
      </c>
      <c r="H189">
        <v>32</v>
      </c>
      <c r="I189" t="str">
        <f t="shared" si="8"/>
        <v>High</v>
      </c>
      <c r="J189">
        <v>15</v>
      </c>
      <c r="K189" t="str">
        <f t="shared" si="9"/>
        <v>High</v>
      </c>
      <c r="L189" t="str">
        <f t="shared" si="10"/>
        <v>High</v>
      </c>
      <c r="M189" t="str">
        <f t="shared" si="11"/>
        <v>No</v>
      </c>
    </row>
    <row r="190" spans="1:13" x14ac:dyDescent="0.3">
      <c r="A190" t="s">
        <v>196</v>
      </c>
      <c r="B190" t="s">
        <v>10</v>
      </c>
      <c r="C190" s="1">
        <v>45486</v>
      </c>
      <c r="D190" s="1">
        <v>45851</v>
      </c>
      <c r="F190">
        <v>3999</v>
      </c>
      <c r="G190" s="2">
        <v>45474</v>
      </c>
      <c r="H190">
        <v>34</v>
      </c>
      <c r="I190" t="str">
        <f t="shared" si="8"/>
        <v>High</v>
      </c>
      <c r="J190">
        <v>14</v>
      </c>
      <c r="K190" t="str">
        <f t="shared" si="9"/>
        <v>High</v>
      </c>
      <c r="L190" t="str">
        <f t="shared" si="10"/>
        <v>High</v>
      </c>
      <c r="M190" t="str">
        <f t="shared" si="11"/>
        <v>No</v>
      </c>
    </row>
    <row r="191" spans="1:13" x14ac:dyDescent="0.3">
      <c r="A191" t="s">
        <v>197</v>
      </c>
      <c r="B191" t="s">
        <v>7</v>
      </c>
      <c r="C191" s="1">
        <v>45487</v>
      </c>
      <c r="D191" s="1">
        <v>45518</v>
      </c>
      <c r="F191">
        <v>499</v>
      </c>
      <c r="G191" s="2">
        <v>45474</v>
      </c>
      <c r="H191">
        <v>39</v>
      </c>
      <c r="I191" t="str">
        <f t="shared" si="8"/>
        <v>High</v>
      </c>
      <c r="J191">
        <v>16</v>
      </c>
      <c r="K191" t="str">
        <f t="shared" si="9"/>
        <v>High</v>
      </c>
      <c r="L191" t="str">
        <f t="shared" si="10"/>
        <v>High</v>
      </c>
      <c r="M191" t="str">
        <f t="shared" si="11"/>
        <v>No</v>
      </c>
    </row>
    <row r="192" spans="1:13" x14ac:dyDescent="0.3">
      <c r="A192" t="s">
        <v>198</v>
      </c>
      <c r="B192" t="s">
        <v>7</v>
      </c>
      <c r="C192" s="1">
        <v>45488</v>
      </c>
      <c r="D192" s="1">
        <v>45519</v>
      </c>
      <c r="E192" s="1">
        <v>45491</v>
      </c>
      <c r="F192">
        <v>499</v>
      </c>
      <c r="G192" s="2">
        <v>45474</v>
      </c>
      <c r="H192">
        <v>4</v>
      </c>
      <c r="I192" t="str">
        <f t="shared" si="8"/>
        <v>Medium</v>
      </c>
      <c r="J192">
        <v>4</v>
      </c>
      <c r="K192" t="str">
        <f t="shared" si="9"/>
        <v>High</v>
      </c>
      <c r="L192" t="str">
        <f t="shared" si="10"/>
        <v>High</v>
      </c>
      <c r="M192" t="str">
        <f t="shared" si="11"/>
        <v>No</v>
      </c>
    </row>
    <row r="193" spans="1:13" x14ac:dyDescent="0.3">
      <c r="A193" t="s">
        <v>199</v>
      </c>
      <c r="B193" t="s">
        <v>10</v>
      </c>
      <c r="C193" s="1">
        <v>45489</v>
      </c>
      <c r="D193" s="1">
        <v>45854</v>
      </c>
      <c r="F193">
        <v>3999</v>
      </c>
      <c r="G193" s="2">
        <v>45474</v>
      </c>
      <c r="H193">
        <v>4</v>
      </c>
      <c r="I193" t="str">
        <f t="shared" si="8"/>
        <v>Medium</v>
      </c>
      <c r="J193">
        <v>3</v>
      </c>
      <c r="K193" t="str">
        <f t="shared" si="9"/>
        <v>High</v>
      </c>
      <c r="L193" t="str">
        <f t="shared" si="10"/>
        <v>High</v>
      </c>
      <c r="M193" t="str">
        <f t="shared" si="11"/>
        <v>No</v>
      </c>
    </row>
    <row r="194" spans="1:13" x14ac:dyDescent="0.3">
      <c r="A194" t="s">
        <v>200</v>
      </c>
      <c r="B194" t="s">
        <v>7</v>
      </c>
      <c r="C194" s="1">
        <v>45490</v>
      </c>
      <c r="D194" s="1">
        <v>45521</v>
      </c>
      <c r="F194">
        <v>499</v>
      </c>
      <c r="G194" s="2">
        <v>45474</v>
      </c>
      <c r="H194">
        <v>33</v>
      </c>
      <c r="I194" t="str">
        <f t="shared" si="8"/>
        <v>High</v>
      </c>
      <c r="J194">
        <v>16</v>
      </c>
      <c r="K194" t="str">
        <f t="shared" si="9"/>
        <v>High</v>
      </c>
      <c r="L194" t="str">
        <f t="shared" si="10"/>
        <v>High</v>
      </c>
      <c r="M194" t="str">
        <f t="shared" si="11"/>
        <v>No</v>
      </c>
    </row>
    <row r="195" spans="1:13" x14ac:dyDescent="0.3">
      <c r="A195" t="s">
        <v>201</v>
      </c>
      <c r="B195" t="s">
        <v>7</v>
      </c>
      <c r="C195" s="1">
        <v>45491</v>
      </c>
      <c r="D195" s="1">
        <v>45522</v>
      </c>
      <c r="E195" s="1">
        <v>45493</v>
      </c>
      <c r="F195">
        <v>499</v>
      </c>
      <c r="G195" s="2">
        <v>45474</v>
      </c>
      <c r="H195">
        <v>30</v>
      </c>
      <c r="I195" t="str">
        <f t="shared" ref="I195:I201" si="12">IF(H195&lt;=1,"Low",IF(H195&lt;=4,"Medium","High"))</f>
        <v>High</v>
      </c>
      <c r="J195">
        <v>16</v>
      </c>
      <c r="K195" t="str">
        <f t="shared" ref="K195:K201" si="13">IF(J195&lt;=1,"Low",IF(J195=2,"Medium","High"))</f>
        <v>High</v>
      </c>
      <c r="L195" t="str">
        <f t="shared" ref="L195:L201" si="14">IF(OR(I195="High",K195="High"),"High",
IF(OR(I195="Medium",K195="Medium"),"Medium",
"Low"))</f>
        <v>High</v>
      </c>
      <c r="M195" t="str">
        <f t="shared" ref="M195:M201" si="15">IF(AND(TRIM(I195)="High",TRIM(L195)="Low"),"Yes","No")</f>
        <v>No</v>
      </c>
    </row>
    <row r="196" spans="1:13" x14ac:dyDescent="0.3">
      <c r="A196" t="s">
        <v>202</v>
      </c>
      <c r="B196" t="s">
        <v>10</v>
      </c>
      <c r="C196" s="1">
        <v>45492</v>
      </c>
      <c r="D196" s="1">
        <v>45857</v>
      </c>
      <c r="F196">
        <v>3999</v>
      </c>
      <c r="G196" s="2">
        <v>45474</v>
      </c>
      <c r="H196">
        <v>36</v>
      </c>
      <c r="I196" t="str">
        <f t="shared" si="12"/>
        <v>High</v>
      </c>
      <c r="J196">
        <v>16</v>
      </c>
      <c r="K196" t="str">
        <f t="shared" si="13"/>
        <v>High</v>
      </c>
      <c r="L196" t="str">
        <f t="shared" si="14"/>
        <v>High</v>
      </c>
      <c r="M196" t="str">
        <f t="shared" si="15"/>
        <v>No</v>
      </c>
    </row>
    <row r="197" spans="1:13" x14ac:dyDescent="0.3">
      <c r="A197" t="s">
        <v>203</v>
      </c>
      <c r="B197" t="s">
        <v>7</v>
      </c>
      <c r="C197" s="1">
        <v>45493</v>
      </c>
      <c r="D197" s="1">
        <v>45524</v>
      </c>
      <c r="F197">
        <v>499</v>
      </c>
      <c r="G197" s="2">
        <v>45474</v>
      </c>
      <c r="H197">
        <v>5</v>
      </c>
      <c r="I197" t="str">
        <f t="shared" si="12"/>
        <v>High</v>
      </c>
      <c r="J197">
        <v>0</v>
      </c>
      <c r="K197" t="str">
        <f t="shared" si="13"/>
        <v>Low</v>
      </c>
      <c r="L197" t="str">
        <f t="shared" si="14"/>
        <v>High</v>
      </c>
      <c r="M197" t="str">
        <f t="shared" si="15"/>
        <v>No</v>
      </c>
    </row>
    <row r="198" spans="1:13" x14ac:dyDescent="0.3">
      <c r="A198" t="s">
        <v>204</v>
      </c>
      <c r="B198" t="s">
        <v>7</v>
      </c>
      <c r="C198" s="1">
        <v>45494</v>
      </c>
      <c r="D198" s="1">
        <v>45525</v>
      </c>
      <c r="E198" s="1">
        <v>45495</v>
      </c>
      <c r="F198">
        <v>499</v>
      </c>
      <c r="G198" s="2">
        <v>45474</v>
      </c>
      <c r="H198">
        <v>4</v>
      </c>
      <c r="I198" t="str">
        <f t="shared" si="12"/>
        <v>Medium</v>
      </c>
      <c r="J198">
        <v>0</v>
      </c>
      <c r="K198" t="str">
        <f t="shared" si="13"/>
        <v>Low</v>
      </c>
      <c r="L198" t="str">
        <f t="shared" si="14"/>
        <v>Medium</v>
      </c>
      <c r="M198" t="str">
        <f t="shared" si="15"/>
        <v>No</v>
      </c>
    </row>
    <row r="199" spans="1:13" x14ac:dyDescent="0.3">
      <c r="A199" t="s">
        <v>205</v>
      </c>
      <c r="B199" t="s">
        <v>10</v>
      </c>
      <c r="C199" s="1">
        <v>45495</v>
      </c>
      <c r="D199" s="1">
        <v>45860</v>
      </c>
      <c r="F199">
        <v>3999</v>
      </c>
      <c r="G199" s="2">
        <v>45474</v>
      </c>
      <c r="H199">
        <v>29</v>
      </c>
      <c r="I199" t="str">
        <f t="shared" si="12"/>
        <v>High</v>
      </c>
      <c r="J199">
        <v>0</v>
      </c>
      <c r="K199" t="str">
        <f t="shared" si="13"/>
        <v>Low</v>
      </c>
      <c r="L199" t="str">
        <f t="shared" si="14"/>
        <v>High</v>
      </c>
      <c r="M199" t="str">
        <f t="shared" si="15"/>
        <v>No</v>
      </c>
    </row>
    <row r="200" spans="1:13" x14ac:dyDescent="0.3">
      <c r="A200" t="s">
        <v>206</v>
      </c>
      <c r="B200" t="s">
        <v>7</v>
      </c>
      <c r="C200" s="1">
        <v>45496</v>
      </c>
      <c r="D200" s="1">
        <v>45527</v>
      </c>
      <c r="F200">
        <v>499</v>
      </c>
      <c r="G200" s="2">
        <v>45474</v>
      </c>
      <c r="H200">
        <v>32</v>
      </c>
      <c r="I200" t="str">
        <f t="shared" si="12"/>
        <v>High</v>
      </c>
      <c r="J200">
        <v>0</v>
      </c>
      <c r="K200" t="str">
        <f t="shared" si="13"/>
        <v>Low</v>
      </c>
      <c r="L200" t="str">
        <f t="shared" si="14"/>
        <v>High</v>
      </c>
      <c r="M200" t="str">
        <f t="shared" si="15"/>
        <v>No</v>
      </c>
    </row>
    <row r="201" spans="1:13" x14ac:dyDescent="0.3">
      <c r="A201" t="s">
        <v>207</v>
      </c>
      <c r="B201" t="s">
        <v>7</v>
      </c>
      <c r="C201" s="1">
        <v>45497</v>
      </c>
      <c r="D201" s="1">
        <v>45528</v>
      </c>
      <c r="E201" s="1">
        <v>45498</v>
      </c>
      <c r="F201">
        <v>499</v>
      </c>
      <c r="G201" s="2">
        <v>45474</v>
      </c>
      <c r="H201">
        <v>43</v>
      </c>
      <c r="I201" t="str">
        <f t="shared" si="12"/>
        <v>High</v>
      </c>
      <c r="J201">
        <v>0</v>
      </c>
      <c r="K201" t="str">
        <f t="shared" si="13"/>
        <v>Low</v>
      </c>
      <c r="L201" t="str">
        <f t="shared" si="14"/>
        <v>High</v>
      </c>
      <c r="M201" t="str">
        <f t="shared" si="15"/>
        <v>No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User-Level Revenue &amp; Fatigue Ta</vt:lpstr>
      <vt:lpstr>subscriptions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 Verma</dc:creator>
  <cp:lastModifiedBy>Ishika Verma</cp:lastModifiedBy>
  <dcterms:created xsi:type="dcterms:W3CDTF">2026-01-17T11:05:49Z</dcterms:created>
  <dcterms:modified xsi:type="dcterms:W3CDTF">2026-01-18T14:21:50Z</dcterms:modified>
</cp:coreProperties>
</file>